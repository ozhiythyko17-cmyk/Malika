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nduan" sheetId="1" state="visible" r:id="rId3"/>
    <sheet name="Asumsi" sheetId="2" state="visible" r:id="rId4"/>
    <sheet name="Rincian HPP" sheetId="3" state="visible" r:id="rId5"/>
    <sheet name="Ringkasan HPP" sheetId="4" state="visible" r:id="rId6"/>
    <sheet name="Modal Awal" sheetId="5" state="visible" r:id="rId7"/>
    <sheet name="Proyeksi 12 Bula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0" authorId="0">
      <text>
        <r>
          <rPr>
            <sz val="10"/>
            <rFont val="Arial"/>
            <family val="2"/>
          </rPr>
          <t xml:space="preserve">Mix menu utama + (% tambah minuman × rata-rata harga minuman) + (% tambah add-on × rata-rata harga add-on).</t>
        </r>
      </text>
    </comment>
  </commentList>
</comments>
</file>

<file path=xl/sharedStrings.xml><?xml version="1.0" encoding="utf-8"?>
<sst xmlns="http://schemas.openxmlformats.org/spreadsheetml/2006/main" count="438" uniqueCount="224">
  <si>
    <t xml:space="preserve">Spreadsheet HPP &amp; Proyeksi Keuangan — Dapur Online 3×3 m</t>
  </si>
  <si>
    <t xml:space="preserve">Pendamping Master Plan Dapur Online. Semua angka adalah estimasi 2026; ganti dengan harga di kota kamu.</t>
  </si>
  <si>
    <t xml:space="preserve">Cara pakai</t>
  </si>
  <si>
    <t xml:space="preserve">1. Asumsi</t>
  </si>
  <si>
    <t xml:space="preserve">Atur komisi aplikasi, promo, hari buka, gaji, dan biaya tetap.</t>
  </si>
  <si>
    <t xml:space="preserve">2. Rincian HPP</t>
  </si>
  <si>
    <t xml:space="preserve">Ubah qty dan harga per satuan bahan setiap menu (teks biru). HPP terhitung otomatis.</t>
  </si>
  <si>
    <t xml:space="preserve">3. Ringkasan HPP</t>
  </si>
  <si>
    <t xml:space="preserve">Ubah harga jual dan komposisi penjualan (mix %). Untung per porsi &amp; per order terhitung otomatis.</t>
  </si>
  <si>
    <t xml:space="preserve">4. Modal Awal</t>
  </si>
  <si>
    <t xml:space="preserve">Ubah daftar alat dan biaya persiapan. Dana cadangan dihitung dari biaya tetap bulan 1.</t>
  </si>
  <si>
    <t xml:space="preserve">5. Proyeksi 12 Bulan</t>
  </si>
  <si>
    <t xml:space="preserve">Ubah target order/hari, jumlah helper, dan budget iklan per bulan.</t>
  </si>
  <si>
    <t xml:space="preserve">Kode warna</t>
  </si>
  <si>
    <t xml:space="preserve">Teks biru</t>
  </si>
  <si>
    <t xml:space="preserve">Input — boleh diubah</t>
  </si>
  <si>
    <t xml:space="preserve">Teks hitam</t>
  </si>
  <si>
    <t xml:space="preserve">Rumus — jangan diubah</t>
  </si>
  <si>
    <t xml:space="preserve">Teks hijau</t>
  </si>
  <si>
    <t xml:space="preserve">Mengambil angka dari sheet lain</t>
  </si>
  <si>
    <t xml:space="preserve">Latar kuning</t>
  </si>
  <si>
    <t xml:space="preserve">Asumsi kunci yang paling berpengaruh ke hasil</t>
  </si>
  <si>
    <t xml:space="preserve">Catatan</t>
  </si>
  <si>
    <t xml:space="preserve">Komisi aplikasi ±20% adalah perkiraan umum GoFood/GrabFood/ShopeeFood; cek angka terbaru di aplikasi masing-masing.</t>
  </si>
  <si>
    <t xml:space="preserve">Sewa dihitung sebagai biaya bulanan. Kalau pemilik minta bayar 6–12 bulan di muka, siapkan dari dana cadangan.</t>
  </si>
  <si>
    <t xml:space="preserve">Asumsi Utama</t>
  </si>
  <si>
    <t xml:space="preserve">Teks biru = input. Ubah di sini, semua sheet ikut berubah.</t>
  </si>
  <si>
    <t xml:space="preserve">Asumsi</t>
  </si>
  <si>
    <t xml:space="preserve">Nilai</t>
  </si>
  <si>
    <t xml:space="preserve">Keterangan</t>
  </si>
  <si>
    <t xml:space="preserve">Komisi aplikasi ojol</t>
  </si>
  <si>
    <t xml:space="preserve">Perkiraan ±20% dari harga menu (cek tiap aplikasi)</t>
  </si>
  <si>
    <t xml:space="preserve">Rata-rata biaya promo/diskon per order</t>
  </si>
  <si>
    <t xml:space="preserve">Subsidi promo yang ditanggung merchant</t>
  </si>
  <si>
    <t xml:space="preserve">Hari buka per bulan</t>
  </si>
  <si>
    <t xml:space="preserve">Buka setiap hari</t>
  </si>
  <si>
    <t xml:space="preserve">Gaji 1 helper per bulan</t>
  </si>
  <si>
    <t xml:space="preserve">Sesuaikan dengan UMR/kebiasaan setempat</t>
  </si>
  <si>
    <t xml:space="preserve">Gaji owner per bulan</t>
  </si>
  <si>
    <t xml:space="preserve">Isi kalau owner mau digaji dari usaha</t>
  </si>
  <si>
    <t xml:space="preserve">% order yang menambah minuman</t>
  </si>
  <si>
    <t xml:space="preserve">Upselling minuman</t>
  </si>
  <si>
    <t xml:space="preserve">% order yang menambah lauk/sambal</t>
  </si>
  <si>
    <t xml:space="preserve">Upselling add-on</t>
  </si>
  <si>
    <t xml:space="preserve">Dana cadangan (x biaya tetap bulan 1)</t>
  </si>
  <si>
    <t xml:space="preserve">Untuk menutup biaya saat order masih sepi</t>
  </si>
  <si>
    <t xml:space="preserve">Biaya tetap bulanan (di luar gaji helper &amp; iklan)</t>
  </si>
  <si>
    <t xml:space="preserve">Pos biaya</t>
  </si>
  <si>
    <t xml:space="preserve">Rp / bulan</t>
  </si>
  <si>
    <t xml:space="preserve">Sewa kontrakan</t>
  </si>
  <si>
    <t xml:space="preserve">Estimasi kontrakan 3×3 m</t>
  </si>
  <si>
    <t xml:space="preserve">Listrik &amp; air</t>
  </si>
  <si>
    <t xml:space="preserve">Estimasi</t>
  </si>
  <si>
    <t xml:space="preserve">Internet &amp; pulsa</t>
  </si>
  <si>
    <t xml:space="preserve">Kebersihan &amp; perawatan alat</t>
  </si>
  <si>
    <t xml:space="preserve">Transport belanja &amp; lain-lain</t>
  </si>
  <si>
    <t xml:space="preserve">Total</t>
  </si>
  <si>
    <t xml:space="preserve">Gas &amp; listrik untuk memasak sudah dialokasikan per porsi di HPP, jadi tidak dihitung lagi di sini.</t>
  </si>
  <si>
    <t xml:space="preserve">Rincian HPP per Menu</t>
  </si>
  <si>
    <t xml:space="preserve">Ubah qty dan harga per satuan (biru). Biaya = Qty × Harga per satuan.</t>
  </si>
  <si>
    <t xml:space="preserve">Nasi Bakar Ayam Suwir Kemangi  ·  Nasi Bakar</t>
  </si>
  <si>
    <t xml:space="preserve">Komponen</t>
  </si>
  <si>
    <t xml:space="preserve">Qty</t>
  </si>
  <si>
    <t xml:space="preserve">Satuan</t>
  </si>
  <si>
    <t xml:space="preserve">Harga / satuan</t>
  </si>
  <si>
    <t xml:space="preserve">Biaya</t>
  </si>
  <si>
    <t xml:space="preserve">Beras</t>
  </si>
  <si>
    <t xml:space="preserve">kg</t>
  </si>
  <si>
    <t xml:space="preserve">Santan &amp; bumbu nasi gurih</t>
  </si>
  <si>
    <t xml:space="preserve">porsi</t>
  </si>
  <si>
    <t xml:space="preserve">Ayam suwir bumbu</t>
  </si>
  <si>
    <t xml:space="preserve">Kemangi, cabai, bumbu</t>
  </si>
  <si>
    <t xml:space="preserve">Daun pisang + lidi</t>
  </si>
  <si>
    <t xml:space="preserve">bungkus</t>
  </si>
  <si>
    <t xml:space="preserve">Kemasan (box, sendok, stiker)</t>
  </si>
  <si>
    <t xml:space="preserve">set</t>
  </si>
  <si>
    <t xml:space="preserve">Gas &amp; listrik (alokasi)</t>
  </si>
  <si>
    <t xml:space="preserve">HPP per porsi</t>
  </si>
  <si>
    <t xml:space="preserve">Nasi Bakar Tongkol Pedas  ·  Nasi Bakar</t>
  </si>
  <si>
    <t xml:space="preserve">Tongkol suwir bumbu</t>
  </si>
  <si>
    <t xml:space="preserve">Nasi Bakar Cumi Asin  ·  Nasi Bakar</t>
  </si>
  <si>
    <t xml:space="preserve">Cumi asin</t>
  </si>
  <si>
    <t xml:space="preserve">Nasi Bakar Teri Pete  ·  Nasi Bakar</t>
  </si>
  <si>
    <t xml:space="preserve">Teri medan</t>
  </si>
  <si>
    <t xml:space="preserve">Pete</t>
  </si>
  <si>
    <t xml:space="preserve">papan kecil</t>
  </si>
  <si>
    <t xml:space="preserve">Paket Ayam Bakar Kecap  ·  Ayam</t>
  </si>
  <si>
    <t xml:space="preserve">Ayam 1/4 ekor</t>
  </si>
  <si>
    <t xml:space="preserve">Bumbu ungkep + olesan kecap</t>
  </si>
  <si>
    <t xml:space="preserve">Nasi putih</t>
  </si>
  <si>
    <t xml:space="preserve">Sambal + lalapan</t>
  </si>
  <si>
    <t xml:space="preserve">Paket Ayam Bakar Madu Pedas  ·  Ayam</t>
  </si>
  <si>
    <t xml:space="preserve">Bumbu ungkep + olesan madu pedas</t>
  </si>
  <si>
    <t xml:space="preserve">Paket Ayam Bakar Taliwang  ·  Ayam</t>
  </si>
  <si>
    <t xml:space="preserve">Bumbu ungkep + bumbu taliwang</t>
  </si>
  <si>
    <t xml:space="preserve">Paket Ayam Goreng Bumbu Kuning  ·  Ayam</t>
  </si>
  <si>
    <t xml:space="preserve">Bumbu ungkep kuning</t>
  </si>
  <si>
    <t xml:space="preserve">Minyak goreng</t>
  </si>
  <si>
    <t xml:space="preserve">liter</t>
  </si>
  <si>
    <t xml:space="preserve">Tahu Tempe Bacem Bakar  ·  Tambahan</t>
  </si>
  <si>
    <t xml:space="preserve">Tahu</t>
  </si>
  <si>
    <t xml:space="preserve">potong</t>
  </si>
  <si>
    <t xml:space="preserve">Tempe</t>
  </si>
  <si>
    <t xml:space="preserve">Bumbu bacem</t>
  </si>
  <si>
    <t xml:space="preserve">Cup kemasan</t>
  </si>
  <si>
    <t xml:space="preserve">pcs</t>
  </si>
  <si>
    <t xml:space="preserve">Telur Balado  ·  Tambahan</t>
  </si>
  <si>
    <t xml:space="preserve">Telur ayam</t>
  </si>
  <si>
    <t xml:space="preserve">butir</t>
  </si>
  <si>
    <t xml:space="preserve">Bumbu balado</t>
  </si>
  <si>
    <t xml:space="preserve">Ekstra Sambal  ·  Tambahan</t>
  </si>
  <si>
    <t xml:space="preserve">Sambal (bawang/terasi/matah)</t>
  </si>
  <si>
    <t xml:space="preserve">Cup sambal</t>
  </si>
  <si>
    <t xml:space="preserve">Es Teh Manis (botol)  ·  Minuman</t>
  </si>
  <si>
    <t xml:space="preserve">Teh, gula, es</t>
  </si>
  <si>
    <t xml:space="preserve">Botol + segel</t>
  </si>
  <si>
    <t xml:space="preserve">Es Jeruk (botol)  ·  Minuman</t>
  </si>
  <si>
    <t xml:space="preserve">Jeruk peras</t>
  </si>
  <si>
    <t xml:space="preserve">Gula &amp; es</t>
  </si>
  <si>
    <t xml:space="preserve">Ringkasan HPP, Harga Jual &amp; Untung per Porsi</t>
  </si>
  <si>
    <t xml:space="preserve">Harga jual dan mix % (biru) bisa diubah. Mix % hanya untuk menu utama dan totalnya harus 100%.</t>
  </si>
  <si>
    <t xml:space="preserve">Menu</t>
  </si>
  <si>
    <t xml:space="preserve">Kategori</t>
  </si>
  <si>
    <t xml:space="preserve">Harga jual (aplikasi)</t>
  </si>
  <si>
    <t xml:space="preserve">HPP</t>
  </si>
  <si>
    <t xml:space="preserve">Komisi aplikasi</t>
  </si>
  <si>
    <t xml:space="preserve">Untung per porsi</t>
  </si>
  <si>
    <t xml:space="preserve">Food cost %</t>
  </si>
  <si>
    <t xml:space="preserve">Mix penjualan %</t>
  </si>
  <si>
    <t xml:space="preserve">Nasi Bakar Ayam Suwir Kemangi</t>
  </si>
  <si>
    <t xml:space="preserve">Nasi Bakar</t>
  </si>
  <si>
    <t xml:space="preserve">Nasi Bakar Tongkol Pedas</t>
  </si>
  <si>
    <t xml:space="preserve">Nasi Bakar Cumi Asin</t>
  </si>
  <si>
    <t xml:space="preserve">Nasi Bakar Teri Pete</t>
  </si>
  <si>
    <t xml:space="preserve">Paket Ayam Bakar Kecap</t>
  </si>
  <si>
    <t xml:space="preserve">Ayam</t>
  </si>
  <si>
    <t xml:space="preserve">Paket Ayam Bakar Madu Pedas</t>
  </si>
  <si>
    <t xml:space="preserve">Paket Ayam Bakar Taliwang</t>
  </si>
  <si>
    <t xml:space="preserve">Paket Ayam Goreng Bumbu Kuning</t>
  </si>
  <si>
    <t xml:space="preserve">Tahu Tempe Bacem Bakar</t>
  </si>
  <si>
    <t xml:space="preserve">Tambahan</t>
  </si>
  <si>
    <t xml:space="preserve">add-on</t>
  </si>
  <si>
    <t xml:space="preserve">Telur Balado</t>
  </si>
  <si>
    <t xml:space="preserve">Ekstra Sambal</t>
  </si>
  <si>
    <t xml:space="preserve">Es Teh Manis (botol)</t>
  </si>
  <si>
    <t xml:space="preserve">Minuman</t>
  </si>
  <si>
    <t xml:space="preserve">Es Jeruk (botol)</t>
  </si>
  <si>
    <t xml:space="preserve">Total mix menu utama (harus 100%)</t>
  </si>
  <si>
    <t xml:space="preserve">Rata-rata per order</t>
  </si>
  <si>
    <t xml:space="preserve">Nilai order rata-rata (AOV, harga aplikasi)</t>
  </si>
  <si>
    <t xml:space="preserve">HPP rata-rata per order</t>
  </si>
  <si>
    <t xml:space="preserve">Komisi aplikasi per order</t>
  </si>
  <si>
    <t xml:space="preserve">Promo/diskon per order</t>
  </si>
  <si>
    <t xml:space="preserve">Untung kotor rata-rata per order</t>
  </si>
  <si>
    <t xml:space="preserve">Modal Awal</t>
  </si>
  <si>
    <t xml:space="preserve">Qty dan harga (biru) bisa diubah. Beli alat bekas bisa hemat 30–50%.</t>
  </si>
  <si>
    <t xml:space="preserve">Item</t>
  </si>
  <si>
    <t xml:space="preserve">Harga satuan</t>
  </si>
  <si>
    <t xml:space="preserve">Peralatan</t>
  </si>
  <si>
    <t xml:space="preserve">Kompor 2 tungku tekanan tinggi + regulator &amp; selang</t>
  </si>
  <si>
    <t xml:space="preserve">Panggangan gas / griddle besi / grill pan</t>
  </si>
  <si>
    <t xml:space="preserve">Rice cooker kapasitas besar</t>
  </si>
  <si>
    <t xml:space="preserve">Chest freezer ±100 L</t>
  </si>
  <si>
    <t xml:space="preserve">Meja kerja stainless (rak bawah)</t>
  </si>
  <si>
    <t xml:space="preserve">Rak susun / ambalan dinding</t>
  </si>
  <si>
    <t xml:space="preserve">Bak cuci + keran</t>
  </si>
  <si>
    <t xml:space="preserve">Exhaust fan + pemasangan</t>
  </si>
  <si>
    <t xml:space="preserve">Panci, wajan, spatula, pisau, talenan, baskom</t>
  </si>
  <si>
    <t xml:space="preserve">Blender / chopper bumbu</t>
  </si>
  <si>
    <t xml:space="preserve">Timbangan digital</t>
  </si>
  <si>
    <t xml:space="preserve">Wadah penyimpanan food grade</t>
  </si>
  <si>
    <t xml:space="preserve">Tabung gas (isi)</t>
  </si>
  <si>
    <t xml:space="preserve">APAR 3 kg</t>
  </si>
  <si>
    <t xml:space="preserve">Printer struk thermal (opsional)</t>
  </si>
  <si>
    <t xml:space="preserve">Persiapan</t>
  </si>
  <si>
    <t xml:space="preserve">Renovasi kecil (keramik dinding, listrik, lampu)</t>
  </si>
  <si>
    <t xml:space="preserve">Stok bahan baku awal</t>
  </si>
  <si>
    <t xml:space="preserve">Stok kemasan awal</t>
  </si>
  <si>
    <t xml:space="preserve">Perizinan (NIB, PIRT, halal)</t>
  </si>
  <si>
    <t xml:space="preserve">Logo, stiker, foto menu</t>
  </si>
  <si>
    <t xml:space="preserve">Promo &amp; iklan peluncuran</t>
  </si>
  <si>
    <t xml:space="preserve">Subtotal peralatan</t>
  </si>
  <si>
    <t xml:space="preserve">Subtotal persiapan</t>
  </si>
  <si>
    <t xml:space="preserve">Dana cadangan operasional</t>
  </si>
  <si>
    <t xml:space="preserve">TOTAL MODAL AWAL</t>
  </si>
  <si>
    <t xml:space="preserve">Dana cadangan = jumlah bulan cadangan (sheet Asumsi) × total biaya tetap bulan 1 (sheet Proyeksi).</t>
  </si>
  <si>
    <t xml:space="preserve">Proyeksi Laba Rugi 12 Bulan (skenario moderat)</t>
  </si>
  <si>
    <t xml:space="preserve">Ubah order/hari, jumlah helper, iklan, dan admin per bulan (biru). Baris lain dihitung otomatis.</t>
  </si>
  <si>
    <t xml:space="preserve">Bulan 1</t>
  </si>
  <si>
    <t xml:space="preserve">Bulan 2</t>
  </si>
  <si>
    <t xml:space="preserve">Bulan 3</t>
  </si>
  <si>
    <t xml:space="preserve">Bulan 4</t>
  </si>
  <si>
    <t xml:space="preserve">Bulan 5</t>
  </si>
  <si>
    <t xml:space="preserve">Bulan 6</t>
  </si>
  <si>
    <t xml:space="preserve">Bulan 7</t>
  </si>
  <si>
    <t xml:space="preserve">Bulan 8</t>
  </si>
  <si>
    <t xml:space="preserve">Bulan 9</t>
  </si>
  <si>
    <t xml:space="preserve">Bulan 10</t>
  </si>
  <si>
    <t xml:space="preserve">Bulan 11</t>
  </si>
  <si>
    <t xml:space="preserve">Bulan 12</t>
  </si>
  <si>
    <t xml:space="preserve">Total 12 bln</t>
  </si>
  <si>
    <t xml:space="preserve">Target order per hari</t>
  </si>
  <si>
    <t xml:space="preserve">Hari buka</t>
  </si>
  <si>
    <t xml:space="preserve">Total order per bulan</t>
  </si>
  <si>
    <t xml:space="preserve">Omzet (harga di aplikasi)</t>
  </si>
  <si>
    <t xml:space="preserve">(−) Komisi aplikasi</t>
  </si>
  <si>
    <t xml:space="preserve">(−) HPP bahan &amp; kemasan</t>
  </si>
  <si>
    <t xml:space="preserve">(−) Promo/diskon</t>
  </si>
  <si>
    <t xml:space="preserve">Untung kotor</t>
  </si>
  <si>
    <t xml:space="preserve">Biaya tetap</t>
  </si>
  <si>
    <t xml:space="preserve">Jumlah helper</t>
  </si>
  <si>
    <t xml:space="preserve">Gaji helper</t>
  </si>
  <si>
    <t xml:space="preserve">Iklan &amp; promo berbayar</t>
  </si>
  <si>
    <t xml:space="preserve">Admin/marketing paruh waktu</t>
  </si>
  <si>
    <t xml:space="preserve">Gaji owner</t>
  </si>
  <si>
    <t xml:space="preserve">Total biaya tetap</t>
  </si>
  <si>
    <t xml:space="preserve">LABA BERSIH</t>
  </si>
  <si>
    <t xml:space="preserve">Laba kumulatif (setelah modal awal)</t>
  </si>
  <si>
    <t xml:space="preserve">Margin laba bersih</t>
  </si>
  <si>
    <t xml:space="preserve">Indikator kunci</t>
  </si>
  <si>
    <t xml:space="preserve">Modal awal</t>
  </si>
  <si>
    <t xml:space="preserve">BEP (order per hari, biaya tetap bulan 1)</t>
  </si>
  <si>
    <t xml:space="preserve">Balik modal di bulan ke-</t>
  </si>
  <si>
    <t xml:space="preserve">Laba bersih 12 bulan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</si>
</sst>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;\(0.0%\);\-"/>
    <numFmt numFmtId="166" formatCode="&quot;Rp&quot;#,##0;&quot;(Rp&quot;#,##0\);\-"/>
    <numFmt numFmtId="167" formatCode="#,##0;\(#,##0\);\-"/>
    <numFmt numFmtId="168" formatCode="0&quot; bulan&quot;"/>
    <numFmt numFmtId="169" formatCode="0.00#"/>
    <numFmt numFmtId="170" formatCode="0"/>
    <numFmt numFmtId="171" formatCode="0.0&quot; order&quot;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7A2E0E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7A2E0E"/>
        <bgColor rgb="FF993366"/>
      </patternFill>
    </fill>
    <fill>
      <patternFill patternType="solid">
        <fgColor rgb="FFEBD3C2"/>
        <bgColor rgb="FFF6E7DC"/>
      </patternFill>
    </fill>
    <fill>
      <patternFill patternType="solid">
        <fgColor rgb="FFF6E7DC"/>
        <bgColor rgb="FFEBD3C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B5A6"/>
      </left>
      <right style="thin">
        <color rgb="FFC9B5A6"/>
      </right>
      <top style="thin">
        <color rgb="FFC9B5A6"/>
      </top>
      <bottom style="thin">
        <color rgb="FFC9B5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1" fontId="9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B5A6"/>
      <rgbColor rgb="FF808080"/>
      <rgbColor rgb="FF9999FF"/>
      <rgbColor rgb="FF993366"/>
      <rgbColor rgb="FFF6E7D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BD3C2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7A2E0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4" t="s">
        <v>3</v>
      </c>
      <c r="B5" s="4" t="s">
        <v>4</v>
      </c>
    </row>
    <row r="6" customFormat="false" ht="15" hidden="false" customHeight="false" outlineLevel="0" collapsed="false">
      <c r="A6" s="4" t="s">
        <v>5</v>
      </c>
      <c r="B6" s="4" t="s">
        <v>6</v>
      </c>
    </row>
    <row r="7" customFormat="false" ht="15" hidden="false" customHeight="false" outlineLevel="0" collapsed="false">
      <c r="A7" s="4" t="s">
        <v>7</v>
      </c>
      <c r="B7" s="4" t="s">
        <v>8</v>
      </c>
    </row>
    <row r="8" customFormat="false" ht="15" hidden="false" customHeight="false" outlineLevel="0" collapsed="false">
      <c r="A8" s="4" t="s">
        <v>9</v>
      </c>
      <c r="B8" s="4" t="s">
        <v>10</v>
      </c>
    </row>
    <row r="9" customFormat="false" ht="15" hidden="false" customHeight="false" outlineLevel="0" collapsed="false">
      <c r="A9" s="4" t="s">
        <v>11</v>
      </c>
      <c r="B9" s="4" t="s">
        <v>12</v>
      </c>
    </row>
    <row r="10" customFormat="false" ht="15" hidden="false" customHeight="false" outlineLevel="0" collapsed="false">
      <c r="A10" s="3"/>
      <c r="B10" s="4"/>
    </row>
    <row r="11" customFormat="false" ht="15" hidden="false" customHeight="false" outlineLevel="0" collapsed="false">
      <c r="A11" s="3" t="s">
        <v>13</v>
      </c>
      <c r="B11" s="4"/>
    </row>
    <row r="12" customFormat="false" ht="15" hidden="false" customHeight="false" outlineLevel="0" collapsed="false">
      <c r="A12" s="5" t="s">
        <v>14</v>
      </c>
      <c r="B12" s="4" t="s">
        <v>15</v>
      </c>
    </row>
    <row r="13" customFormat="false" ht="15" hidden="false" customHeight="false" outlineLevel="0" collapsed="false">
      <c r="A13" s="4" t="s">
        <v>16</v>
      </c>
      <c r="B13" s="4" t="s">
        <v>17</v>
      </c>
    </row>
    <row r="14" customFormat="false" ht="15" hidden="false" customHeight="false" outlineLevel="0" collapsed="false">
      <c r="A14" s="6" t="s">
        <v>18</v>
      </c>
      <c r="B14" s="4" t="s">
        <v>19</v>
      </c>
    </row>
    <row r="15" customFormat="false" ht="15" hidden="false" customHeight="false" outlineLevel="0" collapsed="false">
      <c r="A15" s="7" t="s">
        <v>20</v>
      </c>
      <c r="B15" s="4" t="s">
        <v>21</v>
      </c>
    </row>
    <row r="16" customFormat="false" ht="15" hidden="false" customHeight="false" outlineLevel="0" collapsed="false">
      <c r="A16" s="3"/>
      <c r="B16" s="4"/>
    </row>
    <row r="17" customFormat="false" ht="15" hidden="false" customHeight="false" outlineLevel="0" collapsed="false">
      <c r="A17" s="3" t="s">
        <v>22</v>
      </c>
      <c r="B17" s="4" t="s">
        <v>23</v>
      </c>
    </row>
    <row r="18" customFormat="false" ht="15" hidden="false" customHeight="false" outlineLevel="0" collapsed="false">
      <c r="A18" s="4"/>
      <c r="B18" s="4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52"/>
  </cols>
  <sheetData>
    <row r="1" customFormat="false" ht="17.35" hidden="false" customHeight="false" outlineLevel="0" collapsed="false">
      <c r="A1" s="1" t="s">
        <v>25</v>
      </c>
    </row>
    <row r="2" customFormat="false" ht="15" hidden="false" customHeight="false" outlineLevel="0" collapsed="false">
      <c r="A2" s="2" t="s">
        <v>26</v>
      </c>
    </row>
    <row r="3" customFormat="false" ht="15" hidden="false" customHeight="false" outlineLevel="0" collapsed="false">
      <c r="A3" s="8" t="s">
        <v>27</v>
      </c>
      <c r="B3" s="8" t="s">
        <v>28</v>
      </c>
      <c r="C3" s="8" t="s">
        <v>29</v>
      </c>
    </row>
    <row r="4" customFormat="false" ht="15" hidden="false" customHeight="false" outlineLevel="0" collapsed="false">
      <c r="A4" s="9" t="s">
        <v>30</v>
      </c>
      <c r="B4" s="10" t="n">
        <v>0.2</v>
      </c>
      <c r="C4" s="11" t="s">
        <v>31</v>
      </c>
    </row>
    <row r="5" customFormat="false" ht="15" hidden="false" customHeight="false" outlineLevel="0" collapsed="false">
      <c r="A5" s="9" t="s">
        <v>32</v>
      </c>
      <c r="B5" s="12" t="n">
        <v>1000</v>
      </c>
      <c r="C5" s="11" t="s">
        <v>33</v>
      </c>
    </row>
    <row r="6" customFormat="false" ht="15" hidden="false" customHeight="false" outlineLevel="0" collapsed="false">
      <c r="A6" s="9" t="s">
        <v>34</v>
      </c>
      <c r="B6" s="13" t="n">
        <v>30</v>
      </c>
      <c r="C6" s="11" t="s">
        <v>35</v>
      </c>
    </row>
    <row r="7" customFormat="false" ht="15" hidden="false" customHeight="false" outlineLevel="0" collapsed="false">
      <c r="A7" s="9" t="s">
        <v>36</v>
      </c>
      <c r="B7" s="12" t="n">
        <v>2500000</v>
      </c>
      <c r="C7" s="11" t="s">
        <v>37</v>
      </c>
    </row>
    <row r="8" customFormat="false" ht="15" hidden="false" customHeight="false" outlineLevel="0" collapsed="false">
      <c r="A8" s="9" t="s">
        <v>38</v>
      </c>
      <c r="B8" s="12" t="n">
        <v>0</v>
      </c>
      <c r="C8" s="11" t="s">
        <v>39</v>
      </c>
    </row>
    <row r="9" customFormat="false" ht="15" hidden="false" customHeight="false" outlineLevel="0" collapsed="false">
      <c r="A9" s="9" t="s">
        <v>40</v>
      </c>
      <c r="B9" s="10" t="n">
        <v>0.35</v>
      </c>
      <c r="C9" s="11" t="s">
        <v>41</v>
      </c>
    </row>
    <row r="10" customFormat="false" ht="15" hidden="false" customHeight="false" outlineLevel="0" collapsed="false">
      <c r="A10" s="9" t="s">
        <v>42</v>
      </c>
      <c r="B10" s="14" t="n">
        <v>0.25</v>
      </c>
      <c r="C10" s="11" t="s">
        <v>43</v>
      </c>
    </row>
    <row r="11" customFormat="false" ht="15" hidden="false" customHeight="false" outlineLevel="0" collapsed="false">
      <c r="A11" s="9" t="s">
        <v>44</v>
      </c>
      <c r="B11" s="15" t="n">
        <v>2</v>
      </c>
      <c r="C11" s="11" t="s">
        <v>45</v>
      </c>
    </row>
    <row r="13" customFormat="false" ht="15" hidden="false" customHeight="false" outlineLevel="0" collapsed="false">
      <c r="A13" s="3" t="s">
        <v>46</v>
      </c>
    </row>
    <row r="14" customFormat="false" ht="15" hidden="false" customHeight="false" outlineLevel="0" collapsed="false">
      <c r="A14" s="8" t="s">
        <v>47</v>
      </c>
      <c r="B14" s="8" t="s">
        <v>48</v>
      </c>
      <c r="C14" s="8" t="s">
        <v>29</v>
      </c>
    </row>
    <row r="15" customFormat="false" ht="15" hidden="false" customHeight="false" outlineLevel="0" collapsed="false">
      <c r="A15" s="9" t="s">
        <v>49</v>
      </c>
      <c r="B15" s="12" t="n">
        <v>800000</v>
      </c>
      <c r="C15" s="11" t="s">
        <v>50</v>
      </c>
    </row>
    <row r="16" customFormat="false" ht="15" hidden="false" customHeight="false" outlineLevel="0" collapsed="false">
      <c r="A16" s="9" t="s">
        <v>51</v>
      </c>
      <c r="B16" s="12" t="n">
        <v>500000</v>
      </c>
      <c r="C16" s="11" t="s">
        <v>52</v>
      </c>
    </row>
    <row r="17" customFormat="false" ht="15" hidden="false" customHeight="false" outlineLevel="0" collapsed="false">
      <c r="A17" s="9" t="s">
        <v>53</v>
      </c>
      <c r="B17" s="12" t="n">
        <v>200000</v>
      </c>
      <c r="C17" s="11" t="s">
        <v>52</v>
      </c>
    </row>
    <row r="18" customFormat="false" ht="15" hidden="false" customHeight="false" outlineLevel="0" collapsed="false">
      <c r="A18" s="9" t="s">
        <v>54</v>
      </c>
      <c r="B18" s="12" t="n">
        <v>300000</v>
      </c>
      <c r="C18" s="11" t="s">
        <v>52</v>
      </c>
    </row>
    <row r="19" customFormat="false" ht="15" hidden="false" customHeight="false" outlineLevel="0" collapsed="false">
      <c r="A19" s="9" t="s">
        <v>55</v>
      </c>
      <c r="B19" s="12" t="n">
        <v>400000</v>
      </c>
      <c r="C19" s="11" t="s">
        <v>52</v>
      </c>
    </row>
    <row r="20" customFormat="false" ht="15" hidden="false" customHeight="false" outlineLevel="0" collapsed="false">
      <c r="A20" s="16" t="s">
        <v>56</v>
      </c>
      <c r="B20" s="17" t="n">
        <f aca="false">SUM(B15:B19)</f>
        <v>2200000</v>
      </c>
      <c r="C20" s="18"/>
    </row>
    <row r="22" customFormat="false" ht="15" hidden="false" customHeight="false" outlineLevel="0" collapsed="false">
      <c r="A22" s="2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58</v>
      </c>
    </row>
    <row r="2" customFormat="false" ht="15" hidden="false" customHeight="false" outlineLevel="0" collapsed="false">
      <c r="A2" s="2" t="s">
        <v>59</v>
      </c>
    </row>
    <row r="4" customFormat="false" ht="15" hidden="false" customHeight="false" outlineLevel="0" collapsed="false">
      <c r="A4" s="19" t="s">
        <v>60</v>
      </c>
      <c r="B4" s="20"/>
      <c r="C4" s="20"/>
      <c r="D4" s="20"/>
      <c r="E4" s="20"/>
    </row>
    <row r="5" customFormat="false" ht="15" hidden="false" customHeight="false" outlineLevel="0" collapsed="false">
      <c r="A5" s="8" t="s">
        <v>61</v>
      </c>
      <c r="B5" s="8" t="s">
        <v>62</v>
      </c>
      <c r="C5" s="8" t="s">
        <v>63</v>
      </c>
      <c r="D5" s="8" t="s">
        <v>64</v>
      </c>
      <c r="E5" s="8" t="s">
        <v>65</v>
      </c>
    </row>
    <row r="6" customFormat="false" ht="15" hidden="false" customHeight="false" outlineLevel="0" collapsed="false">
      <c r="A6" s="9" t="s">
        <v>66</v>
      </c>
      <c r="B6" s="21" t="n">
        <v>0.08</v>
      </c>
      <c r="C6" s="22" t="s">
        <v>67</v>
      </c>
      <c r="D6" s="12" t="n">
        <v>14000</v>
      </c>
      <c r="E6" s="23" t="n">
        <f aca="false">B6*D6</f>
        <v>1120</v>
      </c>
    </row>
    <row r="7" customFormat="false" ht="15" hidden="false" customHeight="false" outlineLevel="0" collapsed="false">
      <c r="A7" s="9" t="s">
        <v>68</v>
      </c>
      <c r="B7" s="24" t="n">
        <v>1</v>
      </c>
      <c r="C7" s="22" t="s">
        <v>69</v>
      </c>
      <c r="D7" s="12" t="n">
        <v>880</v>
      </c>
      <c r="E7" s="23" t="n">
        <f aca="false">B7*D7</f>
        <v>880</v>
      </c>
    </row>
    <row r="8" customFormat="false" ht="15" hidden="false" customHeight="false" outlineLevel="0" collapsed="false">
      <c r="A8" s="9" t="s">
        <v>70</v>
      </c>
      <c r="B8" s="21" t="n">
        <v>0.05</v>
      </c>
      <c r="C8" s="22" t="s">
        <v>67</v>
      </c>
      <c r="D8" s="12" t="n">
        <v>60000</v>
      </c>
      <c r="E8" s="23" t="n">
        <f aca="false">B8*D8</f>
        <v>3000</v>
      </c>
    </row>
    <row r="9" customFormat="false" ht="15" hidden="false" customHeight="false" outlineLevel="0" collapsed="false">
      <c r="A9" s="9" t="s">
        <v>71</v>
      </c>
      <c r="B9" s="24" t="n">
        <v>1</v>
      </c>
      <c r="C9" s="22" t="s">
        <v>69</v>
      </c>
      <c r="D9" s="12" t="n">
        <v>1500</v>
      </c>
      <c r="E9" s="23" t="n">
        <f aca="false">B9*D9</f>
        <v>1500</v>
      </c>
    </row>
    <row r="10" customFormat="false" ht="15" hidden="false" customHeight="false" outlineLevel="0" collapsed="false">
      <c r="A10" s="9" t="s">
        <v>72</v>
      </c>
      <c r="B10" s="24" t="n">
        <v>1</v>
      </c>
      <c r="C10" s="22" t="s">
        <v>73</v>
      </c>
      <c r="D10" s="12" t="n">
        <v>500</v>
      </c>
      <c r="E10" s="23" t="n">
        <f aca="false">B10*D10</f>
        <v>500</v>
      </c>
    </row>
    <row r="11" customFormat="false" ht="15" hidden="false" customHeight="false" outlineLevel="0" collapsed="false">
      <c r="A11" s="9" t="s">
        <v>74</v>
      </c>
      <c r="B11" s="24" t="n">
        <v>1</v>
      </c>
      <c r="C11" s="22" t="s">
        <v>75</v>
      </c>
      <c r="D11" s="12" t="n">
        <v>1500</v>
      </c>
      <c r="E11" s="23" t="n">
        <f aca="false">B11*D11</f>
        <v>1500</v>
      </c>
    </row>
    <row r="12" customFormat="false" ht="15" hidden="false" customHeight="false" outlineLevel="0" collapsed="false">
      <c r="A12" s="9" t="s">
        <v>76</v>
      </c>
      <c r="B12" s="24" t="n">
        <v>1</v>
      </c>
      <c r="C12" s="22" t="s">
        <v>69</v>
      </c>
      <c r="D12" s="12" t="n">
        <v>500</v>
      </c>
      <c r="E12" s="23" t="n">
        <f aca="false">B12*D12</f>
        <v>500</v>
      </c>
    </row>
    <row r="13" customFormat="false" ht="15" hidden="false" customHeight="false" outlineLevel="0" collapsed="false">
      <c r="A13" s="16" t="s">
        <v>77</v>
      </c>
      <c r="B13" s="18"/>
      <c r="C13" s="18"/>
      <c r="D13" s="18"/>
      <c r="E13" s="17" t="n">
        <f aca="false">SUM(E6:E12)</f>
        <v>9000</v>
      </c>
    </row>
    <row r="15" customFormat="false" ht="15" hidden="false" customHeight="false" outlineLevel="0" collapsed="false">
      <c r="A15" s="19" t="s">
        <v>78</v>
      </c>
      <c r="B15" s="20"/>
      <c r="C15" s="20"/>
      <c r="D15" s="20"/>
      <c r="E15" s="20"/>
    </row>
    <row r="16" customFormat="false" ht="15" hidden="false" customHeight="false" outlineLevel="0" collapsed="false">
      <c r="A16" s="8" t="s">
        <v>61</v>
      </c>
      <c r="B16" s="8" t="s">
        <v>62</v>
      </c>
      <c r="C16" s="8" t="s">
        <v>63</v>
      </c>
      <c r="D16" s="8" t="s">
        <v>64</v>
      </c>
      <c r="E16" s="8" t="s">
        <v>65</v>
      </c>
    </row>
    <row r="17" customFormat="false" ht="15" hidden="false" customHeight="false" outlineLevel="0" collapsed="false">
      <c r="A17" s="9" t="s">
        <v>66</v>
      </c>
      <c r="B17" s="21" t="n">
        <v>0.08</v>
      </c>
      <c r="C17" s="22" t="s">
        <v>67</v>
      </c>
      <c r="D17" s="12" t="n">
        <v>14000</v>
      </c>
      <c r="E17" s="23" t="n">
        <f aca="false">B17*D17</f>
        <v>1120</v>
      </c>
    </row>
    <row r="18" customFormat="false" ht="15" hidden="false" customHeight="false" outlineLevel="0" collapsed="false">
      <c r="A18" s="9" t="s">
        <v>68</v>
      </c>
      <c r="B18" s="24" t="n">
        <v>1</v>
      </c>
      <c r="C18" s="22" t="s">
        <v>69</v>
      </c>
      <c r="D18" s="12" t="n">
        <v>880</v>
      </c>
      <c r="E18" s="23" t="n">
        <f aca="false">B18*D18</f>
        <v>880</v>
      </c>
    </row>
    <row r="19" customFormat="false" ht="15" hidden="false" customHeight="false" outlineLevel="0" collapsed="false">
      <c r="A19" s="9" t="s">
        <v>79</v>
      </c>
      <c r="B19" s="21" t="n">
        <v>0.05</v>
      </c>
      <c r="C19" s="22" t="s">
        <v>67</v>
      </c>
      <c r="D19" s="12" t="n">
        <v>50000</v>
      </c>
      <c r="E19" s="23" t="n">
        <f aca="false">B19*D19</f>
        <v>2500</v>
      </c>
    </row>
    <row r="20" customFormat="false" ht="15" hidden="false" customHeight="false" outlineLevel="0" collapsed="false">
      <c r="A20" s="9" t="s">
        <v>71</v>
      </c>
      <c r="B20" s="24" t="n">
        <v>1</v>
      </c>
      <c r="C20" s="22" t="s">
        <v>69</v>
      </c>
      <c r="D20" s="12" t="n">
        <v>1500</v>
      </c>
      <c r="E20" s="23" t="n">
        <f aca="false">B20*D20</f>
        <v>1500</v>
      </c>
    </row>
    <row r="21" customFormat="false" ht="15" hidden="false" customHeight="false" outlineLevel="0" collapsed="false">
      <c r="A21" s="9" t="s">
        <v>72</v>
      </c>
      <c r="B21" s="24" t="n">
        <v>1</v>
      </c>
      <c r="C21" s="22" t="s">
        <v>73</v>
      </c>
      <c r="D21" s="12" t="n">
        <v>500</v>
      </c>
      <c r="E21" s="23" t="n">
        <f aca="false">B21*D21</f>
        <v>500</v>
      </c>
    </row>
    <row r="22" customFormat="false" ht="15" hidden="false" customHeight="false" outlineLevel="0" collapsed="false">
      <c r="A22" s="9" t="s">
        <v>74</v>
      </c>
      <c r="B22" s="24" t="n">
        <v>1</v>
      </c>
      <c r="C22" s="22" t="s">
        <v>75</v>
      </c>
      <c r="D22" s="12" t="n">
        <v>1500</v>
      </c>
      <c r="E22" s="23" t="n">
        <f aca="false">B22*D22</f>
        <v>1500</v>
      </c>
    </row>
    <row r="23" customFormat="false" ht="15" hidden="false" customHeight="false" outlineLevel="0" collapsed="false">
      <c r="A23" s="9" t="s">
        <v>76</v>
      </c>
      <c r="B23" s="24" t="n">
        <v>1</v>
      </c>
      <c r="C23" s="22" t="s">
        <v>69</v>
      </c>
      <c r="D23" s="12" t="n">
        <v>500</v>
      </c>
      <c r="E23" s="23" t="n">
        <f aca="false">B23*D23</f>
        <v>500</v>
      </c>
    </row>
    <row r="24" customFormat="false" ht="15" hidden="false" customHeight="false" outlineLevel="0" collapsed="false">
      <c r="A24" s="16" t="s">
        <v>77</v>
      </c>
      <c r="B24" s="18"/>
      <c r="C24" s="18"/>
      <c r="D24" s="18"/>
      <c r="E24" s="17" t="n">
        <f aca="false">SUM(E17:E23)</f>
        <v>8500</v>
      </c>
    </row>
    <row r="26" customFormat="false" ht="15" hidden="false" customHeight="false" outlineLevel="0" collapsed="false">
      <c r="A26" s="19" t="s">
        <v>80</v>
      </c>
      <c r="B26" s="20"/>
      <c r="C26" s="20"/>
      <c r="D26" s="20"/>
      <c r="E26" s="20"/>
    </row>
    <row r="27" customFormat="false" ht="15" hidden="false" customHeight="false" outlineLevel="0" collapsed="false">
      <c r="A27" s="8" t="s">
        <v>61</v>
      </c>
      <c r="B27" s="8" t="s">
        <v>62</v>
      </c>
      <c r="C27" s="8" t="s">
        <v>63</v>
      </c>
      <c r="D27" s="8" t="s">
        <v>64</v>
      </c>
      <c r="E27" s="8" t="s">
        <v>65</v>
      </c>
    </row>
    <row r="28" customFormat="false" ht="15" hidden="false" customHeight="false" outlineLevel="0" collapsed="false">
      <c r="A28" s="9" t="s">
        <v>66</v>
      </c>
      <c r="B28" s="21" t="n">
        <v>0.08</v>
      </c>
      <c r="C28" s="22" t="s">
        <v>67</v>
      </c>
      <c r="D28" s="12" t="n">
        <v>14000</v>
      </c>
      <c r="E28" s="23" t="n">
        <f aca="false">B28*D28</f>
        <v>1120</v>
      </c>
    </row>
    <row r="29" customFormat="false" ht="15" hidden="false" customHeight="false" outlineLevel="0" collapsed="false">
      <c r="A29" s="9" t="s">
        <v>68</v>
      </c>
      <c r="B29" s="24" t="n">
        <v>1</v>
      </c>
      <c r="C29" s="22" t="s">
        <v>69</v>
      </c>
      <c r="D29" s="12" t="n">
        <v>880</v>
      </c>
      <c r="E29" s="23" t="n">
        <f aca="false">B29*D29</f>
        <v>880</v>
      </c>
    </row>
    <row r="30" customFormat="false" ht="15" hidden="false" customHeight="false" outlineLevel="0" collapsed="false">
      <c r="A30" s="9" t="s">
        <v>81</v>
      </c>
      <c r="B30" s="21" t="n">
        <v>0.04</v>
      </c>
      <c r="C30" s="22" t="s">
        <v>67</v>
      </c>
      <c r="D30" s="12" t="n">
        <v>90000</v>
      </c>
      <c r="E30" s="23" t="n">
        <f aca="false">B30*D30</f>
        <v>3600</v>
      </c>
    </row>
    <row r="31" customFormat="false" ht="15" hidden="false" customHeight="false" outlineLevel="0" collapsed="false">
      <c r="A31" s="9" t="s">
        <v>71</v>
      </c>
      <c r="B31" s="24" t="n">
        <v>1</v>
      </c>
      <c r="C31" s="22" t="s">
        <v>69</v>
      </c>
      <c r="D31" s="12" t="n">
        <v>1500</v>
      </c>
      <c r="E31" s="23" t="n">
        <f aca="false">B31*D31</f>
        <v>1500</v>
      </c>
    </row>
    <row r="32" customFormat="false" ht="15" hidden="false" customHeight="false" outlineLevel="0" collapsed="false">
      <c r="A32" s="9" t="s">
        <v>72</v>
      </c>
      <c r="B32" s="24" t="n">
        <v>1</v>
      </c>
      <c r="C32" s="22" t="s">
        <v>73</v>
      </c>
      <c r="D32" s="12" t="n">
        <v>500</v>
      </c>
      <c r="E32" s="23" t="n">
        <f aca="false">B32*D32</f>
        <v>500</v>
      </c>
    </row>
    <row r="33" customFormat="false" ht="15" hidden="false" customHeight="false" outlineLevel="0" collapsed="false">
      <c r="A33" s="9" t="s">
        <v>74</v>
      </c>
      <c r="B33" s="24" t="n">
        <v>1</v>
      </c>
      <c r="C33" s="22" t="s">
        <v>75</v>
      </c>
      <c r="D33" s="12" t="n">
        <v>1500</v>
      </c>
      <c r="E33" s="23" t="n">
        <f aca="false">B33*D33</f>
        <v>1500</v>
      </c>
    </row>
    <row r="34" customFormat="false" ht="15" hidden="false" customHeight="false" outlineLevel="0" collapsed="false">
      <c r="A34" s="9" t="s">
        <v>76</v>
      </c>
      <c r="B34" s="24" t="n">
        <v>1</v>
      </c>
      <c r="C34" s="22" t="s">
        <v>69</v>
      </c>
      <c r="D34" s="12" t="n">
        <v>500</v>
      </c>
      <c r="E34" s="23" t="n">
        <f aca="false">B34*D34</f>
        <v>500</v>
      </c>
    </row>
    <row r="35" customFormat="false" ht="15" hidden="false" customHeight="false" outlineLevel="0" collapsed="false">
      <c r="A35" s="16" t="s">
        <v>77</v>
      </c>
      <c r="B35" s="18"/>
      <c r="C35" s="18"/>
      <c r="D35" s="18"/>
      <c r="E35" s="17" t="n">
        <f aca="false">SUM(E28:E34)</f>
        <v>9600</v>
      </c>
    </row>
    <row r="37" customFormat="false" ht="15" hidden="false" customHeight="false" outlineLevel="0" collapsed="false">
      <c r="A37" s="19" t="s">
        <v>82</v>
      </c>
      <c r="B37" s="20"/>
      <c r="C37" s="20"/>
      <c r="D37" s="20"/>
      <c r="E37" s="20"/>
    </row>
    <row r="38" customFormat="false" ht="15" hidden="false" customHeight="false" outlineLevel="0" collapsed="false">
      <c r="A38" s="8" t="s">
        <v>61</v>
      </c>
      <c r="B38" s="8" t="s">
        <v>62</v>
      </c>
      <c r="C38" s="8" t="s">
        <v>63</v>
      </c>
      <c r="D38" s="8" t="s">
        <v>64</v>
      </c>
      <c r="E38" s="8" t="s">
        <v>65</v>
      </c>
    </row>
    <row r="39" customFormat="false" ht="15" hidden="false" customHeight="false" outlineLevel="0" collapsed="false">
      <c r="A39" s="9" t="s">
        <v>66</v>
      </c>
      <c r="B39" s="21" t="n">
        <v>0.08</v>
      </c>
      <c r="C39" s="22" t="s">
        <v>67</v>
      </c>
      <c r="D39" s="12" t="n">
        <v>14000</v>
      </c>
      <c r="E39" s="23" t="n">
        <f aca="false">B39*D39</f>
        <v>1120</v>
      </c>
    </row>
    <row r="40" customFormat="false" ht="15" hidden="false" customHeight="false" outlineLevel="0" collapsed="false">
      <c r="A40" s="9" t="s">
        <v>68</v>
      </c>
      <c r="B40" s="24" t="n">
        <v>1</v>
      </c>
      <c r="C40" s="22" t="s">
        <v>69</v>
      </c>
      <c r="D40" s="12" t="n">
        <v>880</v>
      </c>
      <c r="E40" s="23" t="n">
        <f aca="false">B40*D40</f>
        <v>880</v>
      </c>
    </row>
    <row r="41" customFormat="false" ht="15" hidden="false" customHeight="false" outlineLevel="0" collapsed="false">
      <c r="A41" s="9" t="s">
        <v>83</v>
      </c>
      <c r="B41" s="21" t="n">
        <v>0.03</v>
      </c>
      <c r="C41" s="22" t="s">
        <v>67</v>
      </c>
      <c r="D41" s="12" t="n">
        <v>100000</v>
      </c>
      <c r="E41" s="23" t="n">
        <f aca="false">B41*D41</f>
        <v>3000</v>
      </c>
    </row>
    <row r="42" customFormat="false" ht="15" hidden="false" customHeight="false" outlineLevel="0" collapsed="false">
      <c r="A42" s="9" t="s">
        <v>84</v>
      </c>
      <c r="B42" s="24" t="n">
        <v>1</v>
      </c>
      <c r="C42" s="22" t="s">
        <v>85</v>
      </c>
      <c r="D42" s="12" t="n">
        <v>1000</v>
      </c>
      <c r="E42" s="23" t="n">
        <f aca="false">B42*D42</f>
        <v>1000</v>
      </c>
    </row>
    <row r="43" customFormat="false" ht="15" hidden="false" customHeight="false" outlineLevel="0" collapsed="false">
      <c r="A43" s="9" t="s">
        <v>71</v>
      </c>
      <c r="B43" s="24" t="n">
        <v>1</v>
      </c>
      <c r="C43" s="22" t="s">
        <v>69</v>
      </c>
      <c r="D43" s="12" t="n">
        <v>1500</v>
      </c>
      <c r="E43" s="23" t="n">
        <f aca="false">B43*D43</f>
        <v>1500</v>
      </c>
    </row>
    <row r="44" customFormat="false" ht="15" hidden="false" customHeight="false" outlineLevel="0" collapsed="false">
      <c r="A44" s="9" t="s">
        <v>72</v>
      </c>
      <c r="B44" s="24" t="n">
        <v>1</v>
      </c>
      <c r="C44" s="22" t="s">
        <v>73</v>
      </c>
      <c r="D44" s="12" t="n">
        <v>500</v>
      </c>
      <c r="E44" s="23" t="n">
        <f aca="false">B44*D44</f>
        <v>500</v>
      </c>
    </row>
    <row r="45" customFormat="false" ht="15" hidden="false" customHeight="false" outlineLevel="0" collapsed="false">
      <c r="A45" s="9" t="s">
        <v>74</v>
      </c>
      <c r="B45" s="24" t="n">
        <v>1</v>
      </c>
      <c r="C45" s="22" t="s">
        <v>75</v>
      </c>
      <c r="D45" s="12" t="n">
        <v>1500</v>
      </c>
      <c r="E45" s="23" t="n">
        <f aca="false">B45*D45</f>
        <v>1500</v>
      </c>
    </row>
    <row r="46" customFormat="false" ht="15" hidden="false" customHeight="false" outlineLevel="0" collapsed="false">
      <c r="A46" s="9" t="s">
        <v>76</v>
      </c>
      <c r="B46" s="24" t="n">
        <v>1</v>
      </c>
      <c r="C46" s="22" t="s">
        <v>69</v>
      </c>
      <c r="D46" s="12" t="n">
        <v>500</v>
      </c>
      <c r="E46" s="23" t="n">
        <f aca="false">B46*D46</f>
        <v>500</v>
      </c>
    </row>
    <row r="47" customFormat="false" ht="15" hidden="false" customHeight="false" outlineLevel="0" collapsed="false">
      <c r="A47" s="16" t="s">
        <v>77</v>
      </c>
      <c r="B47" s="18"/>
      <c r="C47" s="18"/>
      <c r="D47" s="18"/>
      <c r="E47" s="17" t="n">
        <f aca="false">SUM(E39:E46)</f>
        <v>10000</v>
      </c>
    </row>
    <row r="49" customFormat="false" ht="15" hidden="false" customHeight="false" outlineLevel="0" collapsed="false">
      <c r="A49" s="19" t="s">
        <v>86</v>
      </c>
      <c r="B49" s="20"/>
      <c r="C49" s="20"/>
      <c r="D49" s="20"/>
      <c r="E49" s="20"/>
    </row>
    <row r="50" customFormat="false" ht="15" hidden="false" customHeight="false" outlineLevel="0" collapsed="false">
      <c r="A50" s="8" t="s">
        <v>61</v>
      </c>
      <c r="B50" s="8" t="s">
        <v>62</v>
      </c>
      <c r="C50" s="8" t="s">
        <v>63</v>
      </c>
      <c r="D50" s="8" t="s">
        <v>64</v>
      </c>
      <c r="E50" s="8" t="s">
        <v>65</v>
      </c>
    </row>
    <row r="51" customFormat="false" ht="15" hidden="false" customHeight="false" outlineLevel="0" collapsed="false">
      <c r="A51" s="9" t="s">
        <v>87</v>
      </c>
      <c r="B51" s="21" t="n">
        <v>0.28</v>
      </c>
      <c r="C51" s="22" t="s">
        <v>67</v>
      </c>
      <c r="D51" s="12" t="n">
        <v>37500</v>
      </c>
      <c r="E51" s="23" t="n">
        <f aca="false">B51*D51</f>
        <v>10500</v>
      </c>
    </row>
    <row r="52" customFormat="false" ht="15" hidden="false" customHeight="false" outlineLevel="0" collapsed="false">
      <c r="A52" s="9" t="s">
        <v>88</v>
      </c>
      <c r="B52" s="24" t="n">
        <v>1</v>
      </c>
      <c r="C52" s="22" t="s">
        <v>69</v>
      </c>
      <c r="D52" s="12" t="n">
        <v>2000</v>
      </c>
      <c r="E52" s="23" t="n">
        <f aca="false">B52*D52</f>
        <v>2000</v>
      </c>
    </row>
    <row r="53" customFormat="false" ht="15" hidden="false" customHeight="false" outlineLevel="0" collapsed="false">
      <c r="A53" s="9" t="s">
        <v>89</v>
      </c>
      <c r="B53" s="24" t="n">
        <v>1</v>
      </c>
      <c r="C53" s="22" t="s">
        <v>69</v>
      </c>
      <c r="D53" s="12" t="n">
        <v>2000</v>
      </c>
      <c r="E53" s="23" t="n">
        <f aca="false">B53*D53</f>
        <v>2000</v>
      </c>
    </row>
    <row r="54" customFormat="false" ht="15" hidden="false" customHeight="false" outlineLevel="0" collapsed="false">
      <c r="A54" s="9" t="s">
        <v>90</v>
      </c>
      <c r="B54" s="24" t="n">
        <v>1</v>
      </c>
      <c r="C54" s="22" t="s">
        <v>69</v>
      </c>
      <c r="D54" s="12" t="n">
        <v>2000</v>
      </c>
      <c r="E54" s="23" t="n">
        <f aca="false">B54*D54</f>
        <v>2000</v>
      </c>
    </row>
    <row r="55" customFormat="false" ht="15" hidden="false" customHeight="false" outlineLevel="0" collapsed="false">
      <c r="A55" s="9" t="s">
        <v>74</v>
      </c>
      <c r="B55" s="24" t="n">
        <v>1</v>
      </c>
      <c r="C55" s="22" t="s">
        <v>75</v>
      </c>
      <c r="D55" s="12" t="n">
        <v>2000</v>
      </c>
      <c r="E55" s="23" t="n">
        <f aca="false">B55*D55</f>
        <v>2000</v>
      </c>
    </row>
    <row r="56" customFormat="false" ht="15" hidden="false" customHeight="false" outlineLevel="0" collapsed="false">
      <c r="A56" s="9" t="s">
        <v>76</v>
      </c>
      <c r="B56" s="24" t="n">
        <v>1</v>
      </c>
      <c r="C56" s="22" t="s">
        <v>69</v>
      </c>
      <c r="D56" s="12" t="n">
        <v>700</v>
      </c>
      <c r="E56" s="23" t="n">
        <f aca="false">B56*D56</f>
        <v>700</v>
      </c>
    </row>
    <row r="57" customFormat="false" ht="15" hidden="false" customHeight="false" outlineLevel="0" collapsed="false">
      <c r="A57" s="16" t="s">
        <v>77</v>
      </c>
      <c r="B57" s="18"/>
      <c r="C57" s="18"/>
      <c r="D57" s="18"/>
      <c r="E57" s="17" t="n">
        <f aca="false">SUM(E51:E56)</f>
        <v>19200</v>
      </c>
    </row>
    <row r="59" customFormat="false" ht="15" hidden="false" customHeight="false" outlineLevel="0" collapsed="false">
      <c r="A59" s="19" t="s">
        <v>91</v>
      </c>
      <c r="B59" s="20"/>
      <c r="C59" s="20"/>
      <c r="D59" s="20"/>
      <c r="E59" s="20"/>
    </row>
    <row r="60" customFormat="false" ht="15" hidden="false" customHeight="false" outlineLevel="0" collapsed="false">
      <c r="A60" s="8" t="s">
        <v>61</v>
      </c>
      <c r="B60" s="8" t="s">
        <v>62</v>
      </c>
      <c r="C60" s="8" t="s">
        <v>63</v>
      </c>
      <c r="D60" s="8" t="s">
        <v>64</v>
      </c>
      <c r="E60" s="8" t="s">
        <v>65</v>
      </c>
    </row>
    <row r="61" customFormat="false" ht="15" hidden="false" customHeight="false" outlineLevel="0" collapsed="false">
      <c r="A61" s="9" t="s">
        <v>87</v>
      </c>
      <c r="B61" s="21" t="n">
        <v>0.28</v>
      </c>
      <c r="C61" s="22" t="s">
        <v>67</v>
      </c>
      <c r="D61" s="12" t="n">
        <v>37500</v>
      </c>
      <c r="E61" s="23" t="n">
        <f aca="false">B61*D61</f>
        <v>10500</v>
      </c>
    </row>
    <row r="62" customFormat="false" ht="15" hidden="false" customHeight="false" outlineLevel="0" collapsed="false">
      <c r="A62" s="9" t="s">
        <v>92</v>
      </c>
      <c r="B62" s="24" t="n">
        <v>1</v>
      </c>
      <c r="C62" s="22" t="s">
        <v>69</v>
      </c>
      <c r="D62" s="12" t="n">
        <v>2800</v>
      </c>
      <c r="E62" s="23" t="n">
        <f aca="false">B62*D62</f>
        <v>2800</v>
      </c>
    </row>
    <row r="63" customFormat="false" ht="15" hidden="false" customHeight="false" outlineLevel="0" collapsed="false">
      <c r="A63" s="9" t="s">
        <v>89</v>
      </c>
      <c r="B63" s="24" t="n">
        <v>1</v>
      </c>
      <c r="C63" s="22" t="s">
        <v>69</v>
      </c>
      <c r="D63" s="12" t="n">
        <v>2000</v>
      </c>
      <c r="E63" s="23" t="n">
        <f aca="false">B63*D63</f>
        <v>2000</v>
      </c>
    </row>
    <row r="64" customFormat="false" ht="15" hidden="false" customHeight="false" outlineLevel="0" collapsed="false">
      <c r="A64" s="9" t="s">
        <v>90</v>
      </c>
      <c r="B64" s="24" t="n">
        <v>1</v>
      </c>
      <c r="C64" s="22" t="s">
        <v>69</v>
      </c>
      <c r="D64" s="12" t="n">
        <v>2000</v>
      </c>
      <c r="E64" s="23" t="n">
        <f aca="false">B64*D64</f>
        <v>2000</v>
      </c>
    </row>
    <row r="65" customFormat="false" ht="15" hidden="false" customHeight="false" outlineLevel="0" collapsed="false">
      <c r="A65" s="9" t="s">
        <v>74</v>
      </c>
      <c r="B65" s="24" t="n">
        <v>1</v>
      </c>
      <c r="C65" s="22" t="s">
        <v>75</v>
      </c>
      <c r="D65" s="12" t="n">
        <v>2000</v>
      </c>
      <c r="E65" s="23" t="n">
        <f aca="false">B65*D65</f>
        <v>2000</v>
      </c>
    </row>
    <row r="66" customFormat="false" ht="15" hidden="false" customHeight="false" outlineLevel="0" collapsed="false">
      <c r="A66" s="9" t="s">
        <v>76</v>
      </c>
      <c r="B66" s="24" t="n">
        <v>1</v>
      </c>
      <c r="C66" s="22" t="s">
        <v>69</v>
      </c>
      <c r="D66" s="12" t="n">
        <v>700</v>
      </c>
      <c r="E66" s="23" t="n">
        <f aca="false">B66*D66</f>
        <v>700</v>
      </c>
    </row>
    <row r="67" customFormat="false" ht="15" hidden="false" customHeight="false" outlineLevel="0" collapsed="false">
      <c r="A67" s="16" t="s">
        <v>77</v>
      </c>
      <c r="B67" s="18"/>
      <c r="C67" s="18"/>
      <c r="D67" s="18"/>
      <c r="E67" s="17" t="n">
        <f aca="false">SUM(E61:E66)</f>
        <v>20000</v>
      </c>
    </row>
    <row r="69" customFormat="false" ht="15" hidden="false" customHeight="false" outlineLevel="0" collapsed="false">
      <c r="A69" s="19" t="s">
        <v>93</v>
      </c>
      <c r="B69" s="20"/>
      <c r="C69" s="20"/>
      <c r="D69" s="20"/>
      <c r="E69" s="20"/>
    </row>
    <row r="70" customFormat="false" ht="15" hidden="false" customHeight="false" outlineLevel="0" collapsed="false">
      <c r="A70" s="8" t="s">
        <v>61</v>
      </c>
      <c r="B70" s="8" t="s">
        <v>62</v>
      </c>
      <c r="C70" s="8" t="s">
        <v>63</v>
      </c>
      <c r="D70" s="8" t="s">
        <v>64</v>
      </c>
      <c r="E70" s="8" t="s">
        <v>65</v>
      </c>
    </row>
    <row r="71" customFormat="false" ht="15" hidden="false" customHeight="false" outlineLevel="0" collapsed="false">
      <c r="A71" s="9" t="s">
        <v>87</v>
      </c>
      <c r="B71" s="21" t="n">
        <v>0.28</v>
      </c>
      <c r="C71" s="22" t="s">
        <v>67</v>
      </c>
      <c r="D71" s="12" t="n">
        <v>37500</v>
      </c>
      <c r="E71" s="23" t="n">
        <f aca="false">B71*D71</f>
        <v>10500</v>
      </c>
    </row>
    <row r="72" customFormat="false" ht="15" hidden="false" customHeight="false" outlineLevel="0" collapsed="false">
      <c r="A72" s="9" t="s">
        <v>94</v>
      </c>
      <c r="B72" s="24" t="n">
        <v>1</v>
      </c>
      <c r="C72" s="22" t="s">
        <v>69</v>
      </c>
      <c r="D72" s="12" t="n">
        <v>2500</v>
      </c>
      <c r="E72" s="23" t="n">
        <f aca="false">B72*D72</f>
        <v>2500</v>
      </c>
    </row>
    <row r="73" customFormat="false" ht="15" hidden="false" customHeight="false" outlineLevel="0" collapsed="false">
      <c r="A73" s="9" t="s">
        <v>89</v>
      </c>
      <c r="B73" s="24" t="n">
        <v>1</v>
      </c>
      <c r="C73" s="22" t="s">
        <v>69</v>
      </c>
      <c r="D73" s="12" t="n">
        <v>2000</v>
      </c>
      <c r="E73" s="23" t="n">
        <f aca="false">B73*D73</f>
        <v>2000</v>
      </c>
    </row>
    <row r="74" customFormat="false" ht="15" hidden="false" customHeight="false" outlineLevel="0" collapsed="false">
      <c r="A74" s="9" t="s">
        <v>90</v>
      </c>
      <c r="B74" s="24" t="n">
        <v>1</v>
      </c>
      <c r="C74" s="22" t="s">
        <v>69</v>
      </c>
      <c r="D74" s="12" t="n">
        <v>2000</v>
      </c>
      <c r="E74" s="23" t="n">
        <f aca="false">B74*D74</f>
        <v>2000</v>
      </c>
    </row>
    <row r="75" customFormat="false" ht="15" hidden="false" customHeight="false" outlineLevel="0" collapsed="false">
      <c r="A75" s="9" t="s">
        <v>74</v>
      </c>
      <c r="B75" s="24" t="n">
        <v>1</v>
      </c>
      <c r="C75" s="22" t="s">
        <v>75</v>
      </c>
      <c r="D75" s="12" t="n">
        <v>2000</v>
      </c>
      <c r="E75" s="23" t="n">
        <f aca="false">B75*D75</f>
        <v>2000</v>
      </c>
    </row>
    <row r="76" customFormat="false" ht="15" hidden="false" customHeight="false" outlineLevel="0" collapsed="false">
      <c r="A76" s="9" t="s">
        <v>76</v>
      </c>
      <c r="B76" s="24" t="n">
        <v>1</v>
      </c>
      <c r="C76" s="22" t="s">
        <v>69</v>
      </c>
      <c r="D76" s="12" t="n">
        <v>700</v>
      </c>
      <c r="E76" s="23" t="n">
        <f aca="false">B76*D76</f>
        <v>700</v>
      </c>
    </row>
    <row r="77" customFormat="false" ht="15" hidden="false" customHeight="false" outlineLevel="0" collapsed="false">
      <c r="A77" s="16" t="s">
        <v>77</v>
      </c>
      <c r="B77" s="18"/>
      <c r="C77" s="18"/>
      <c r="D77" s="18"/>
      <c r="E77" s="17" t="n">
        <f aca="false">SUM(E71:E76)</f>
        <v>19700</v>
      </c>
    </row>
    <row r="79" customFormat="false" ht="15" hidden="false" customHeight="false" outlineLevel="0" collapsed="false">
      <c r="A79" s="19" t="s">
        <v>95</v>
      </c>
      <c r="B79" s="20"/>
      <c r="C79" s="20"/>
      <c r="D79" s="20"/>
      <c r="E79" s="20"/>
    </row>
    <row r="80" customFormat="false" ht="15" hidden="false" customHeight="false" outlineLevel="0" collapsed="false">
      <c r="A80" s="8" t="s">
        <v>61</v>
      </c>
      <c r="B80" s="8" t="s">
        <v>62</v>
      </c>
      <c r="C80" s="8" t="s">
        <v>63</v>
      </c>
      <c r="D80" s="8" t="s">
        <v>64</v>
      </c>
      <c r="E80" s="8" t="s">
        <v>65</v>
      </c>
    </row>
    <row r="81" customFormat="false" ht="15" hidden="false" customHeight="false" outlineLevel="0" collapsed="false">
      <c r="A81" s="9" t="s">
        <v>87</v>
      </c>
      <c r="B81" s="21" t="n">
        <v>0.28</v>
      </c>
      <c r="C81" s="22" t="s">
        <v>67</v>
      </c>
      <c r="D81" s="12" t="n">
        <v>37500</v>
      </c>
      <c r="E81" s="23" t="n">
        <f aca="false">B81*D81</f>
        <v>10500</v>
      </c>
    </row>
    <row r="82" customFormat="false" ht="15" hidden="false" customHeight="false" outlineLevel="0" collapsed="false">
      <c r="A82" s="9" t="s">
        <v>96</v>
      </c>
      <c r="B82" s="24" t="n">
        <v>1</v>
      </c>
      <c r="C82" s="22" t="s">
        <v>69</v>
      </c>
      <c r="D82" s="12" t="n">
        <v>1500</v>
      </c>
      <c r="E82" s="23" t="n">
        <f aca="false">B82*D82</f>
        <v>1500</v>
      </c>
    </row>
    <row r="83" customFormat="false" ht="15" hidden="false" customHeight="false" outlineLevel="0" collapsed="false">
      <c r="A83" s="9" t="s">
        <v>97</v>
      </c>
      <c r="B83" s="21" t="n">
        <v>0.05</v>
      </c>
      <c r="C83" s="22" t="s">
        <v>98</v>
      </c>
      <c r="D83" s="12" t="n">
        <v>18000</v>
      </c>
      <c r="E83" s="23" t="n">
        <f aca="false">B83*D83</f>
        <v>900</v>
      </c>
    </row>
    <row r="84" customFormat="false" ht="15" hidden="false" customHeight="false" outlineLevel="0" collapsed="false">
      <c r="A84" s="9" t="s">
        <v>89</v>
      </c>
      <c r="B84" s="24" t="n">
        <v>1</v>
      </c>
      <c r="C84" s="22" t="s">
        <v>69</v>
      </c>
      <c r="D84" s="12" t="n">
        <v>2000</v>
      </c>
      <c r="E84" s="23" t="n">
        <f aca="false">B84*D84</f>
        <v>2000</v>
      </c>
    </row>
    <row r="85" customFormat="false" ht="15" hidden="false" customHeight="false" outlineLevel="0" collapsed="false">
      <c r="A85" s="9" t="s">
        <v>90</v>
      </c>
      <c r="B85" s="24" t="n">
        <v>1</v>
      </c>
      <c r="C85" s="22" t="s">
        <v>69</v>
      </c>
      <c r="D85" s="12" t="n">
        <v>2000</v>
      </c>
      <c r="E85" s="23" t="n">
        <f aca="false">B85*D85</f>
        <v>2000</v>
      </c>
    </row>
    <row r="86" customFormat="false" ht="15" hidden="false" customHeight="false" outlineLevel="0" collapsed="false">
      <c r="A86" s="9" t="s">
        <v>74</v>
      </c>
      <c r="B86" s="24" t="n">
        <v>1</v>
      </c>
      <c r="C86" s="22" t="s">
        <v>75</v>
      </c>
      <c r="D86" s="12" t="n">
        <v>2000</v>
      </c>
      <c r="E86" s="23" t="n">
        <f aca="false">B86*D86</f>
        <v>2000</v>
      </c>
    </row>
    <row r="87" customFormat="false" ht="15" hidden="false" customHeight="false" outlineLevel="0" collapsed="false">
      <c r="A87" s="9" t="s">
        <v>76</v>
      </c>
      <c r="B87" s="24" t="n">
        <v>1</v>
      </c>
      <c r="C87" s="22" t="s">
        <v>69</v>
      </c>
      <c r="D87" s="12" t="n">
        <v>700</v>
      </c>
      <c r="E87" s="23" t="n">
        <f aca="false">B87*D87</f>
        <v>700</v>
      </c>
    </row>
    <row r="88" customFormat="false" ht="15" hidden="false" customHeight="false" outlineLevel="0" collapsed="false">
      <c r="A88" s="16" t="s">
        <v>77</v>
      </c>
      <c r="B88" s="18"/>
      <c r="C88" s="18"/>
      <c r="D88" s="18"/>
      <c r="E88" s="17" t="n">
        <f aca="false">SUM(E81:E87)</f>
        <v>19600</v>
      </c>
    </row>
    <row r="90" customFormat="false" ht="15" hidden="false" customHeight="false" outlineLevel="0" collapsed="false">
      <c r="A90" s="19" t="s">
        <v>99</v>
      </c>
      <c r="B90" s="20"/>
      <c r="C90" s="20"/>
      <c r="D90" s="20"/>
      <c r="E90" s="20"/>
    </row>
    <row r="91" customFormat="false" ht="15" hidden="false" customHeight="false" outlineLevel="0" collapsed="false">
      <c r="A91" s="8" t="s">
        <v>61</v>
      </c>
      <c r="B91" s="8" t="s">
        <v>62</v>
      </c>
      <c r="C91" s="8" t="s">
        <v>63</v>
      </c>
      <c r="D91" s="8" t="s">
        <v>64</v>
      </c>
      <c r="E91" s="8" t="s">
        <v>65</v>
      </c>
    </row>
    <row r="92" customFormat="false" ht="15" hidden="false" customHeight="false" outlineLevel="0" collapsed="false">
      <c r="A92" s="9" t="s">
        <v>100</v>
      </c>
      <c r="B92" s="24" t="n">
        <v>2</v>
      </c>
      <c r="C92" s="22" t="s">
        <v>101</v>
      </c>
      <c r="D92" s="12" t="n">
        <v>600</v>
      </c>
      <c r="E92" s="23" t="n">
        <f aca="false">B92*D92</f>
        <v>1200</v>
      </c>
    </row>
    <row r="93" customFormat="false" ht="15" hidden="false" customHeight="false" outlineLevel="0" collapsed="false">
      <c r="A93" s="9" t="s">
        <v>102</v>
      </c>
      <c r="B93" s="24" t="n">
        <v>2</v>
      </c>
      <c r="C93" s="22" t="s">
        <v>101</v>
      </c>
      <c r="D93" s="12" t="n">
        <v>500</v>
      </c>
      <c r="E93" s="23" t="n">
        <f aca="false">B93*D93</f>
        <v>1000</v>
      </c>
    </row>
    <row r="94" customFormat="false" ht="15" hidden="false" customHeight="false" outlineLevel="0" collapsed="false">
      <c r="A94" s="9" t="s">
        <v>103</v>
      </c>
      <c r="B94" s="24" t="n">
        <v>1</v>
      </c>
      <c r="C94" s="22" t="s">
        <v>69</v>
      </c>
      <c r="D94" s="12" t="n">
        <v>400</v>
      </c>
      <c r="E94" s="23" t="n">
        <f aca="false">B94*D94</f>
        <v>400</v>
      </c>
    </row>
    <row r="95" customFormat="false" ht="15" hidden="false" customHeight="false" outlineLevel="0" collapsed="false">
      <c r="A95" s="9" t="s">
        <v>104</v>
      </c>
      <c r="B95" s="24" t="n">
        <v>1</v>
      </c>
      <c r="C95" s="22" t="s">
        <v>105</v>
      </c>
      <c r="D95" s="12" t="n">
        <v>500</v>
      </c>
      <c r="E95" s="23" t="n">
        <f aca="false">B95*D95</f>
        <v>500</v>
      </c>
    </row>
    <row r="96" customFormat="false" ht="15" hidden="false" customHeight="false" outlineLevel="0" collapsed="false">
      <c r="A96" s="16" t="s">
        <v>77</v>
      </c>
      <c r="B96" s="18"/>
      <c r="C96" s="18"/>
      <c r="D96" s="18"/>
      <c r="E96" s="17" t="n">
        <f aca="false">SUM(E92:E95)</f>
        <v>3100</v>
      </c>
    </row>
    <row r="98" customFormat="false" ht="15" hidden="false" customHeight="false" outlineLevel="0" collapsed="false">
      <c r="A98" s="19" t="s">
        <v>106</v>
      </c>
      <c r="B98" s="20"/>
      <c r="C98" s="20"/>
      <c r="D98" s="20"/>
      <c r="E98" s="20"/>
    </row>
    <row r="99" customFormat="false" ht="15" hidden="false" customHeight="false" outlineLevel="0" collapsed="false">
      <c r="A99" s="8" t="s">
        <v>61</v>
      </c>
      <c r="B99" s="8" t="s">
        <v>62</v>
      </c>
      <c r="C99" s="8" t="s">
        <v>63</v>
      </c>
      <c r="D99" s="8" t="s">
        <v>64</v>
      </c>
      <c r="E99" s="8" t="s">
        <v>65</v>
      </c>
    </row>
    <row r="100" customFormat="false" ht="15" hidden="false" customHeight="false" outlineLevel="0" collapsed="false">
      <c r="A100" s="9" t="s">
        <v>107</v>
      </c>
      <c r="B100" s="24" t="n">
        <v>1</v>
      </c>
      <c r="C100" s="22" t="s">
        <v>108</v>
      </c>
      <c r="D100" s="12" t="n">
        <v>2200</v>
      </c>
      <c r="E100" s="23" t="n">
        <f aca="false">B100*D100</f>
        <v>2200</v>
      </c>
    </row>
    <row r="101" customFormat="false" ht="15" hidden="false" customHeight="false" outlineLevel="0" collapsed="false">
      <c r="A101" s="9" t="s">
        <v>109</v>
      </c>
      <c r="B101" s="24" t="n">
        <v>1</v>
      </c>
      <c r="C101" s="22" t="s">
        <v>69</v>
      </c>
      <c r="D101" s="12" t="n">
        <v>600</v>
      </c>
      <c r="E101" s="23" t="n">
        <f aca="false">B101*D101</f>
        <v>600</v>
      </c>
    </row>
    <row r="102" customFormat="false" ht="15" hidden="false" customHeight="false" outlineLevel="0" collapsed="false">
      <c r="A102" s="9" t="s">
        <v>104</v>
      </c>
      <c r="B102" s="24" t="n">
        <v>1</v>
      </c>
      <c r="C102" s="22" t="s">
        <v>105</v>
      </c>
      <c r="D102" s="12" t="n">
        <v>500</v>
      </c>
      <c r="E102" s="23" t="n">
        <f aca="false">B102*D102</f>
        <v>500</v>
      </c>
    </row>
    <row r="103" customFormat="false" ht="15" hidden="false" customHeight="false" outlineLevel="0" collapsed="false">
      <c r="A103" s="16" t="s">
        <v>77</v>
      </c>
      <c r="B103" s="18"/>
      <c r="C103" s="18"/>
      <c r="D103" s="18"/>
      <c r="E103" s="17" t="n">
        <f aca="false">SUM(E100:E102)</f>
        <v>3300</v>
      </c>
    </row>
    <row r="105" customFormat="false" ht="15" hidden="false" customHeight="false" outlineLevel="0" collapsed="false">
      <c r="A105" s="19" t="s">
        <v>110</v>
      </c>
      <c r="B105" s="20"/>
      <c r="C105" s="20"/>
      <c r="D105" s="20"/>
      <c r="E105" s="20"/>
    </row>
    <row r="106" customFormat="false" ht="15" hidden="false" customHeight="false" outlineLevel="0" collapsed="false">
      <c r="A106" s="8" t="s">
        <v>61</v>
      </c>
      <c r="B106" s="8" t="s">
        <v>62</v>
      </c>
      <c r="C106" s="8" t="s">
        <v>63</v>
      </c>
      <c r="D106" s="8" t="s">
        <v>64</v>
      </c>
      <c r="E106" s="8" t="s">
        <v>65</v>
      </c>
    </row>
    <row r="107" customFormat="false" ht="15" hidden="false" customHeight="false" outlineLevel="0" collapsed="false">
      <c r="A107" s="9" t="s">
        <v>111</v>
      </c>
      <c r="B107" s="24" t="n">
        <v>1</v>
      </c>
      <c r="C107" s="22" t="s">
        <v>69</v>
      </c>
      <c r="D107" s="12" t="n">
        <v>1000</v>
      </c>
      <c r="E107" s="23" t="n">
        <f aca="false">B107*D107</f>
        <v>1000</v>
      </c>
    </row>
    <row r="108" customFormat="false" ht="15" hidden="false" customHeight="false" outlineLevel="0" collapsed="false">
      <c r="A108" s="9" t="s">
        <v>112</v>
      </c>
      <c r="B108" s="24" t="n">
        <v>1</v>
      </c>
      <c r="C108" s="22" t="s">
        <v>105</v>
      </c>
      <c r="D108" s="12" t="n">
        <v>300</v>
      </c>
      <c r="E108" s="23" t="n">
        <f aca="false">B108*D108</f>
        <v>300</v>
      </c>
    </row>
    <row r="109" customFormat="false" ht="15" hidden="false" customHeight="false" outlineLevel="0" collapsed="false">
      <c r="A109" s="16" t="s">
        <v>77</v>
      </c>
      <c r="B109" s="18"/>
      <c r="C109" s="18"/>
      <c r="D109" s="18"/>
      <c r="E109" s="17" t="n">
        <f aca="false">SUM(E107:E108)</f>
        <v>1300</v>
      </c>
    </row>
    <row r="111" customFormat="false" ht="15" hidden="false" customHeight="false" outlineLevel="0" collapsed="false">
      <c r="A111" s="19" t="s">
        <v>113</v>
      </c>
      <c r="B111" s="20"/>
      <c r="C111" s="20"/>
      <c r="D111" s="20"/>
      <c r="E111" s="20"/>
    </row>
    <row r="112" customFormat="false" ht="15" hidden="false" customHeight="false" outlineLevel="0" collapsed="false">
      <c r="A112" s="8" t="s">
        <v>61</v>
      </c>
      <c r="B112" s="8" t="s">
        <v>62</v>
      </c>
      <c r="C112" s="8" t="s">
        <v>63</v>
      </c>
      <c r="D112" s="8" t="s">
        <v>64</v>
      </c>
      <c r="E112" s="8" t="s">
        <v>65</v>
      </c>
    </row>
    <row r="113" customFormat="false" ht="15" hidden="false" customHeight="false" outlineLevel="0" collapsed="false">
      <c r="A113" s="9" t="s">
        <v>114</v>
      </c>
      <c r="B113" s="24" t="n">
        <v>1</v>
      </c>
      <c r="C113" s="22" t="s">
        <v>69</v>
      </c>
      <c r="D113" s="12" t="n">
        <v>1000</v>
      </c>
      <c r="E113" s="23" t="n">
        <f aca="false">B113*D113</f>
        <v>1000</v>
      </c>
    </row>
    <row r="114" customFormat="false" ht="15" hidden="false" customHeight="false" outlineLevel="0" collapsed="false">
      <c r="A114" s="9" t="s">
        <v>115</v>
      </c>
      <c r="B114" s="24" t="n">
        <v>1</v>
      </c>
      <c r="C114" s="22" t="s">
        <v>105</v>
      </c>
      <c r="D114" s="12" t="n">
        <v>1500</v>
      </c>
      <c r="E114" s="23" t="n">
        <f aca="false">B114*D114</f>
        <v>1500</v>
      </c>
    </row>
    <row r="115" customFormat="false" ht="15" hidden="false" customHeight="false" outlineLevel="0" collapsed="false">
      <c r="A115" s="16" t="s">
        <v>77</v>
      </c>
      <c r="B115" s="18"/>
      <c r="C115" s="18"/>
      <c r="D115" s="18"/>
      <c r="E115" s="17" t="n">
        <f aca="false">SUM(E113:E114)</f>
        <v>2500</v>
      </c>
    </row>
    <row r="117" customFormat="false" ht="15" hidden="false" customHeight="false" outlineLevel="0" collapsed="false">
      <c r="A117" s="19" t="s">
        <v>116</v>
      </c>
      <c r="B117" s="20"/>
      <c r="C117" s="20"/>
      <c r="D117" s="20"/>
      <c r="E117" s="20"/>
    </row>
    <row r="118" customFormat="false" ht="15" hidden="false" customHeight="false" outlineLevel="0" collapsed="false">
      <c r="A118" s="8" t="s">
        <v>61</v>
      </c>
      <c r="B118" s="8" t="s">
        <v>62</v>
      </c>
      <c r="C118" s="8" t="s">
        <v>63</v>
      </c>
      <c r="D118" s="8" t="s">
        <v>64</v>
      </c>
      <c r="E118" s="8" t="s">
        <v>65</v>
      </c>
    </row>
    <row r="119" customFormat="false" ht="15" hidden="false" customHeight="false" outlineLevel="0" collapsed="false">
      <c r="A119" s="9" t="s">
        <v>117</v>
      </c>
      <c r="B119" s="24" t="n">
        <v>1</v>
      </c>
      <c r="C119" s="22" t="s">
        <v>69</v>
      </c>
      <c r="D119" s="12" t="n">
        <v>2500</v>
      </c>
      <c r="E119" s="23" t="n">
        <f aca="false">B119*D119</f>
        <v>2500</v>
      </c>
    </row>
    <row r="120" customFormat="false" ht="15" hidden="false" customHeight="false" outlineLevel="0" collapsed="false">
      <c r="A120" s="9" t="s">
        <v>118</v>
      </c>
      <c r="B120" s="24" t="n">
        <v>1</v>
      </c>
      <c r="C120" s="22" t="s">
        <v>69</v>
      </c>
      <c r="D120" s="12" t="n">
        <v>500</v>
      </c>
      <c r="E120" s="23" t="n">
        <f aca="false">B120*D120</f>
        <v>500</v>
      </c>
    </row>
    <row r="121" customFormat="false" ht="15" hidden="false" customHeight="false" outlineLevel="0" collapsed="false">
      <c r="A121" s="9" t="s">
        <v>115</v>
      </c>
      <c r="B121" s="24" t="n">
        <v>1</v>
      </c>
      <c r="C121" s="22" t="s">
        <v>105</v>
      </c>
      <c r="D121" s="12" t="n">
        <v>1500</v>
      </c>
      <c r="E121" s="23" t="n">
        <f aca="false">B121*D121</f>
        <v>1500</v>
      </c>
    </row>
    <row r="122" customFormat="false" ht="15" hidden="false" customHeight="false" outlineLevel="0" collapsed="false">
      <c r="A122" s="16" t="s">
        <v>77</v>
      </c>
      <c r="B122" s="18"/>
      <c r="C122" s="18"/>
      <c r="D122" s="18"/>
      <c r="E122" s="17" t="n">
        <f aca="false">SUM(E119:E121)</f>
        <v>4500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8" min="2" style="0" width="16"/>
  </cols>
  <sheetData>
    <row r="1" customFormat="false" ht="17.35" hidden="false" customHeight="false" outlineLevel="0" collapsed="false">
      <c r="A1" s="1" t="s">
        <v>119</v>
      </c>
    </row>
    <row r="2" customFormat="false" ht="15" hidden="false" customHeight="false" outlineLevel="0" collapsed="false">
      <c r="A2" s="2" t="s">
        <v>120</v>
      </c>
    </row>
    <row r="3" customFormat="false" ht="23.85" hidden="false" customHeight="false" outlineLevel="0" collapsed="false">
      <c r="A3" s="8" t="s">
        <v>121</v>
      </c>
      <c r="B3" s="8" t="s">
        <v>122</v>
      </c>
      <c r="C3" s="8" t="s">
        <v>123</v>
      </c>
      <c r="D3" s="8" t="s">
        <v>124</v>
      </c>
      <c r="E3" s="8" t="s">
        <v>125</v>
      </c>
      <c r="F3" s="8" t="s">
        <v>126</v>
      </c>
      <c r="G3" s="8" t="s">
        <v>127</v>
      </c>
      <c r="H3" s="8" t="s">
        <v>128</v>
      </c>
    </row>
    <row r="4" customFormat="false" ht="15" hidden="false" customHeight="false" outlineLevel="0" collapsed="false">
      <c r="A4" s="9" t="s">
        <v>129</v>
      </c>
      <c r="B4" s="22" t="s">
        <v>130</v>
      </c>
      <c r="C4" s="12" t="n">
        <v>22000</v>
      </c>
      <c r="D4" s="25" t="n">
        <f aca="false">'Rincian HPP'!$E$13</f>
        <v>9000</v>
      </c>
      <c r="E4" s="23" t="n">
        <f aca="false">C4*Asumsi!$B$4</f>
        <v>4400</v>
      </c>
      <c r="F4" s="23" t="n">
        <f aca="false">C4-E4-D4</f>
        <v>8600</v>
      </c>
      <c r="G4" s="26" t="n">
        <f aca="false">IF(C4=0,0,D4/C4)</f>
        <v>0.409090909090909</v>
      </c>
      <c r="H4" s="14" t="n">
        <v>0.18</v>
      </c>
    </row>
    <row r="5" customFormat="false" ht="15" hidden="false" customHeight="false" outlineLevel="0" collapsed="false">
      <c r="A5" s="9" t="s">
        <v>131</v>
      </c>
      <c r="B5" s="22" t="s">
        <v>130</v>
      </c>
      <c r="C5" s="12" t="n">
        <v>21000</v>
      </c>
      <c r="D5" s="25" t="n">
        <f aca="false">'Rincian HPP'!$E$24</f>
        <v>8500</v>
      </c>
      <c r="E5" s="23" t="n">
        <f aca="false">C5*Asumsi!$B$4</f>
        <v>4200</v>
      </c>
      <c r="F5" s="23" t="n">
        <f aca="false">C5-E5-D5</f>
        <v>8300</v>
      </c>
      <c r="G5" s="26" t="n">
        <f aca="false">IF(C5=0,0,D5/C5)</f>
        <v>0.404761904761905</v>
      </c>
      <c r="H5" s="14" t="n">
        <v>0.1</v>
      </c>
    </row>
    <row r="6" customFormat="false" ht="15" hidden="false" customHeight="false" outlineLevel="0" collapsed="false">
      <c r="A6" s="9" t="s">
        <v>132</v>
      </c>
      <c r="B6" s="22" t="s">
        <v>130</v>
      </c>
      <c r="C6" s="12" t="n">
        <v>23000</v>
      </c>
      <c r="D6" s="25" t="n">
        <f aca="false">'Rincian HPP'!$E$35</f>
        <v>9600</v>
      </c>
      <c r="E6" s="23" t="n">
        <f aca="false">C6*Asumsi!$B$4</f>
        <v>4600</v>
      </c>
      <c r="F6" s="23" t="n">
        <f aca="false">C6-E6-D6</f>
        <v>8800</v>
      </c>
      <c r="G6" s="26" t="n">
        <f aca="false">IF(C6=0,0,D6/C6)</f>
        <v>0.417391304347826</v>
      </c>
      <c r="H6" s="14" t="n">
        <v>0.07</v>
      </c>
    </row>
    <row r="7" customFormat="false" ht="15" hidden="false" customHeight="false" outlineLevel="0" collapsed="false">
      <c r="A7" s="9" t="s">
        <v>133</v>
      </c>
      <c r="B7" s="22" t="s">
        <v>130</v>
      </c>
      <c r="C7" s="12" t="n">
        <v>23000</v>
      </c>
      <c r="D7" s="25" t="n">
        <f aca="false">'Rincian HPP'!$E$47</f>
        <v>10000</v>
      </c>
      <c r="E7" s="23" t="n">
        <f aca="false">C7*Asumsi!$B$4</f>
        <v>4600</v>
      </c>
      <c r="F7" s="23" t="n">
        <f aca="false">C7-E7-D7</f>
        <v>8400</v>
      </c>
      <c r="G7" s="26" t="n">
        <f aca="false">IF(C7=0,0,D7/C7)</f>
        <v>0.434782608695652</v>
      </c>
      <c r="H7" s="14" t="n">
        <v>0.05</v>
      </c>
    </row>
    <row r="8" customFormat="false" ht="15" hidden="false" customHeight="false" outlineLevel="0" collapsed="false">
      <c r="A8" s="9" t="s">
        <v>134</v>
      </c>
      <c r="B8" s="22" t="s">
        <v>135</v>
      </c>
      <c r="C8" s="12" t="n">
        <v>38000</v>
      </c>
      <c r="D8" s="25" t="n">
        <f aca="false">'Rincian HPP'!$E$57</f>
        <v>19200</v>
      </c>
      <c r="E8" s="23" t="n">
        <f aca="false">C8*Asumsi!$B$4</f>
        <v>7600</v>
      </c>
      <c r="F8" s="23" t="n">
        <f aca="false">C8-E8-D8</f>
        <v>11200</v>
      </c>
      <c r="G8" s="26" t="n">
        <f aca="false">IF(C8=0,0,D8/C8)</f>
        <v>0.505263157894737</v>
      </c>
      <c r="H8" s="14" t="n">
        <v>0.25</v>
      </c>
    </row>
    <row r="9" customFormat="false" ht="15" hidden="false" customHeight="false" outlineLevel="0" collapsed="false">
      <c r="A9" s="9" t="s">
        <v>136</v>
      </c>
      <c r="B9" s="22" t="s">
        <v>135</v>
      </c>
      <c r="C9" s="12" t="n">
        <v>39000</v>
      </c>
      <c r="D9" s="25" t="n">
        <f aca="false">'Rincian HPP'!$E$67</f>
        <v>20000</v>
      </c>
      <c r="E9" s="23" t="n">
        <f aca="false">C9*Asumsi!$B$4</f>
        <v>7800</v>
      </c>
      <c r="F9" s="23" t="n">
        <f aca="false">C9-E9-D9</f>
        <v>11200</v>
      </c>
      <c r="G9" s="26" t="n">
        <f aca="false">IF(C9=0,0,D9/C9)</f>
        <v>0.512820512820513</v>
      </c>
      <c r="H9" s="14" t="n">
        <v>0.15</v>
      </c>
    </row>
    <row r="10" customFormat="false" ht="15" hidden="false" customHeight="false" outlineLevel="0" collapsed="false">
      <c r="A10" s="9" t="s">
        <v>137</v>
      </c>
      <c r="B10" s="22" t="s">
        <v>135</v>
      </c>
      <c r="C10" s="12" t="n">
        <v>39000</v>
      </c>
      <c r="D10" s="25" t="n">
        <f aca="false">'Rincian HPP'!$E$77</f>
        <v>19700</v>
      </c>
      <c r="E10" s="23" t="n">
        <f aca="false">C10*Asumsi!$B$4</f>
        <v>7800</v>
      </c>
      <c r="F10" s="23" t="n">
        <f aca="false">C10-E10-D10</f>
        <v>11500</v>
      </c>
      <c r="G10" s="26" t="n">
        <f aca="false">IF(C10=0,0,D10/C10)</f>
        <v>0.505128205128205</v>
      </c>
      <c r="H10" s="14" t="n">
        <v>0.08</v>
      </c>
    </row>
    <row r="11" customFormat="false" ht="15" hidden="false" customHeight="false" outlineLevel="0" collapsed="false">
      <c r="A11" s="9" t="s">
        <v>138</v>
      </c>
      <c r="B11" s="22" t="s">
        <v>135</v>
      </c>
      <c r="C11" s="12" t="n">
        <v>37000</v>
      </c>
      <c r="D11" s="25" t="n">
        <f aca="false">'Rincian HPP'!$E$88</f>
        <v>19600</v>
      </c>
      <c r="E11" s="23" t="n">
        <f aca="false">C11*Asumsi!$B$4</f>
        <v>7400</v>
      </c>
      <c r="F11" s="23" t="n">
        <f aca="false">C11-E11-D11</f>
        <v>10000</v>
      </c>
      <c r="G11" s="26" t="n">
        <f aca="false">IF(C11=0,0,D11/C11)</f>
        <v>0.52972972972973</v>
      </c>
      <c r="H11" s="14" t="n">
        <v>0.12</v>
      </c>
    </row>
    <row r="12" customFormat="false" ht="15" hidden="false" customHeight="false" outlineLevel="0" collapsed="false">
      <c r="A12" s="9" t="s">
        <v>139</v>
      </c>
      <c r="B12" s="22" t="s">
        <v>140</v>
      </c>
      <c r="C12" s="12" t="n">
        <v>8000</v>
      </c>
      <c r="D12" s="25" t="n">
        <f aca="false">'Rincian HPP'!$E$96</f>
        <v>3100</v>
      </c>
      <c r="E12" s="23" t="n">
        <f aca="false">C12*Asumsi!$B$4</f>
        <v>1600</v>
      </c>
      <c r="F12" s="23" t="n">
        <f aca="false">C12-E12-D12</f>
        <v>3300</v>
      </c>
      <c r="G12" s="26" t="n">
        <f aca="false">IF(C12=0,0,D12/C12)</f>
        <v>0.3875</v>
      </c>
      <c r="H12" s="27" t="s">
        <v>141</v>
      </c>
    </row>
    <row r="13" customFormat="false" ht="15" hidden="false" customHeight="false" outlineLevel="0" collapsed="false">
      <c r="A13" s="9" t="s">
        <v>142</v>
      </c>
      <c r="B13" s="22" t="s">
        <v>140</v>
      </c>
      <c r="C13" s="12" t="n">
        <v>8000</v>
      </c>
      <c r="D13" s="25" t="n">
        <f aca="false">'Rincian HPP'!$E$103</f>
        <v>3300</v>
      </c>
      <c r="E13" s="23" t="n">
        <f aca="false">C13*Asumsi!$B$4</f>
        <v>1600</v>
      </c>
      <c r="F13" s="23" t="n">
        <f aca="false">C13-E13-D13</f>
        <v>3100</v>
      </c>
      <c r="G13" s="26" t="n">
        <f aca="false">IF(C13=0,0,D13/C13)</f>
        <v>0.4125</v>
      </c>
      <c r="H13" s="27" t="s">
        <v>141</v>
      </c>
    </row>
    <row r="14" customFormat="false" ht="15" hidden="false" customHeight="false" outlineLevel="0" collapsed="false">
      <c r="A14" s="9" t="s">
        <v>143</v>
      </c>
      <c r="B14" s="22" t="s">
        <v>140</v>
      </c>
      <c r="C14" s="12" t="n">
        <v>5000</v>
      </c>
      <c r="D14" s="25" t="n">
        <f aca="false">'Rincian HPP'!$E$109</f>
        <v>1300</v>
      </c>
      <c r="E14" s="23" t="n">
        <f aca="false">C14*Asumsi!$B$4</f>
        <v>1000</v>
      </c>
      <c r="F14" s="23" t="n">
        <f aca="false">C14-E14-D14</f>
        <v>2700</v>
      </c>
      <c r="G14" s="26" t="n">
        <f aca="false">IF(C14=0,0,D14/C14)</f>
        <v>0.26</v>
      </c>
      <c r="H14" s="27" t="s">
        <v>141</v>
      </c>
    </row>
    <row r="15" customFormat="false" ht="15" hidden="false" customHeight="false" outlineLevel="0" collapsed="false">
      <c r="A15" s="9" t="s">
        <v>144</v>
      </c>
      <c r="B15" s="22" t="s">
        <v>145</v>
      </c>
      <c r="C15" s="12" t="n">
        <v>8000</v>
      </c>
      <c r="D15" s="25" t="n">
        <f aca="false">'Rincian HPP'!$E$115</f>
        <v>2500</v>
      </c>
      <c r="E15" s="23" t="n">
        <f aca="false">C15*Asumsi!$B$4</f>
        <v>1600</v>
      </c>
      <c r="F15" s="23" t="n">
        <f aca="false">C15-E15-D15</f>
        <v>3900</v>
      </c>
      <c r="G15" s="26" t="n">
        <f aca="false">IF(C15=0,0,D15/C15)</f>
        <v>0.3125</v>
      </c>
      <c r="H15" s="27" t="s">
        <v>141</v>
      </c>
    </row>
    <row r="16" customFormat="false" ht="15" hidden="false" customHeight="false" outlineLevel="0" collapsed="false">
      <c r="A16" s="9" t="s">
        <v>146</v>
      </c>
      <c r="B16" s="22" t="s">
        <v>145</v>
      </c>
      <c r="C16" s="12" t="n">
        <v>10000</v>
      </c>
      <c r="D16" s="25" t="n">
        <f aca="false">'Rincian HPP'!$E$122</f>
        <v>4500</v>
      </c>
      <c r="E16" s="23" t="n">
        <f aca="false">C16*Asumsi!$B$4</f>
        <v>2000</v>
      </c>
      <c r="F16" s="23" t="n">
        <f aca="false">C16-E16-D16</f>
        <v>3500</v>
      </c>
      <c r="G16" s="26" t="n">
        <f aca="false">IF(C16=0,0,D16/C16)</f>
        <v>0.45</v>
      </c>
      <c r="H16" s="27" t="s">
        <v>141</v>
      </c>
    </row>
    <row r="17" customFormat="false" ht="15" hidden="false" customHeight="false" outlineLevel="0" collapsed="false">
      <c r="A17" s="28" t="s">
        <v>147</v>
      </c>
      <c r="H17" s="29" t="n">
        <f aca="false">SUM(H4:H16)</f>
        <v>1</v>
      </c>
    </row>
    <row r="19" customFormat="false" ht="15" hidden="false" customHeight="false" outlineLevel="0" collapsed="false">
      <c r="A19" s="3" t="s">
        <v>148</v>
      </c>
    </row>
    <row r="20" customFormat="false" ht="15" hidden="false" customHeight="false" outlineLevel="0" collapsed="false">
      <c r="A20" s="9" t="s">
        <v>149</v>
      </c>
      <c r="B20" s="23" t="n">
        <f aca="false">SUMPRODUCT($H$4:$H$16,$C$4:$C$16)+Asumsi!$B$9*AVERAGEIF($B$4:$B$16,"Minuman",$C$4:$C$16)+Asumsi!$B$10*AVERAGEIF($B$4:$B$16,"Tambahan",$C$4:$C$16)</f>
        <v>36630</v>
      </c>
    </row>
    <row r="21" customFormat="false" ht="15" hidden="false" customHeight="false" outlineLevel="0" collapsed="false">
      <c r="A21" s="9" t="s">
        <v>150</v>
      </c>
      <c r="B21" s="23" t="n">
        <f aca="false">SUMPRODUCT($H$4:$H$16,$D$4:$D$16)+Asumsi!$B$9*AVERAGEIF($B$4:$B$16,"Minuman",$D$4:$D$16)+Asumsi!$B$10*AVERAGEIF($B$4:$B$16,"Tambahan",$D$4:$D$16)</f>
        <v>17236.6666666667</v>
      </c>
    </row>
    <row r="22" customFormat="false" ht="15" hidden="false" customHeight="false" outlineLevel="0" collapsed="false">
      <c r="A22" s="9" t="s">
        <v>151</v>
      </c>
      <c r="B22" s="23" t="n">
        <f aca="false">B20*Asumsi!$B$4</f>
        <v>7326</v>
      </c>
    </row>
    <row r="23" customFormat="false" ht="15" hidden="false" customHeight="false" outlineLevel="0" collapsed="false">
      <c r="A23" s="9" t="s">
        <v>152</v>
      </c>
      <c r="B23" s="25" t="n">
        <f aca="false">Asumsi!$B$5</f>
        <v>1000</v>
      </c>
    </row>
    <row r="24" customFormat="false" ht="15" hidden="false" customHeight="false" outlineLevel="0" collapsed="false">
      <c r="A24" s="16" t="s">
        <v>153</v>
      </c>
      <c r="B24" s="17" t="n">
        <f aca="false">B20-B21-B22-B23</f>
        <v>11067.3333333333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2"/>
    <col collapsed="false" customWidth="true" hidden="false" outlineLevel="0" max="3" min="3" style="0" width="7"/>
    <col collapsed="false" customWidth="true" hidden="false" outlineLevel="0" max="5" min="4" style="0" width="15"/>
  </cols>
  <sheetData>
    <row r="1" customFormat="false" ht="17.35" hidden="false" customHeight="false" outlineLevel="0" collapsed="false">
      <c r="A1" s="1" t="s">
        <v>154</v>
      </c>
    </row>
    <row r="2" customFormat="false" ht="15" hidden="false" customHeight="false" outlineLevel="0" collapsed="false">
      <c r="A2" s="2" t="s">
        <v>155</v>
      </c>
    </row>
    <row r="3" customFormat="false" ht="15" hidden="false" customHeight="false" outlineLevel="0" collapsed="false">
      <c r="A3" s="8" t="s">
        <v>122</v>
      </c>
      <c r="B3" s="8" t="s">
        <v>156</v>
      </c>
      <c r="C3" s="8" t="s">
        <v>62</v>
      </c>
      <c r="D3" s="8" t="s">
        <v>157</v>
      </c>
      <c r="E3" s="8" t="s">
        <v>56</v>
      </c>
    </row>
    <row r="4" customFormat="false" ht="15" hidden="false" customHeight="false" outlineLevel="0" collapsed="false">
      <c r="A4" s="22" t="s">
        <v>158</v>
      </c>
      <c r="B4" s="9" t="s">
        <v>159</v>
      </c>
      <c r="C4" s="30" t="n">
        <v>1</v>
      </c>
      <c r="D4" s="12" t="n">
        <v>800000</v>
      </c>
      <c r="E4" s="23" t="n">
        <f aca="false">C4*D4</f>
        <v>800000</v>
      </c>
    </row>
    <row r="5" customFormat="false" ht="15" hidden="false" customHeight="false" outlineLevel="0" collapsed="false">
      <c r="A5" s="22" t="s">
        <v>158</v>
      </c>
      <c r="B5" s="9" t="s">
        <v>160</v>
      </c>
      <c r="C5" s="30" t="n">
        <v>2</v>
      </c>
      <c r="D5" s="12" t="n">
        <v>350000</v>
      </c>
      <c r="E5" s="23" t="n">
        <f aca="false">C5*D5</f>
        <v>700000</v>
      </c>
    </row>
    <row r="6" customFormat="false" ht="15" hidden="false" customHeight="false" outlineLevel="0" collapsed="false">
      <c r="A6" s="22" t="s">
        <v>158</v>
      </c>
      <c r="B6" s="9" t="s">
        <v>161</v>
      </c>
      <c r="C6" s="30" t="n">
        <v>1</v>
      </c>
      <c r="D6" s="12" t="n">
        <v>800000</v>
      </c>
      <c r="E6" s="23" t="n">
        <f aca="false">C6*D6</f>
        <v>800000</v>
      </c>
    </row>
    <row r="7" customFormat="false" ht="15" hidden="false" customHeight="false" outlineLevel="0" collapsed="false">
      <c r="A7" s="22" t="s">
        <v>158</v>
      </c>
      <c r="B7" s="9" t="s">
        <v>162</v>
      </c>
      <c r="C7" s="30" t="n">
        <v>1</v>
      </c>
      <c r="D7" s="12" t="n">
        <v>2500000</v>
      </c>
      <c r="E7" s="23" t="n">
        <f aca="false">C7*D7</f>
        <v>2500000</v>
      </c>
    </row>
    <row r="8" customFormat="false" ht="15" hidden="false" customHeight="false" outlineLevel="0" collapsed="false">
      <c r="A8" s="22" t="s">
        <v>158</v>
      </c>
      <c r="B8" s="9" t="s">
        <v>163</v>
      </c>
      <c r="C8" s="30" t="n">
        <v>2</v>
      </c>
      <c r="D8" s="12" t="n">
        <v>750000</v>
      </c>
      <c r="E8" s="23" t="n">
        <f aca="false">C8*D8</f>
        <v>1500000</v>
      </c>
    </row>
    <row r="9" customFormat="false" ht="15" hidden="false" customHeight="false" outlineLevel="0" collapsed="false">
      <c r="A9" s="22" t="s">
        <v>158</v>
      </c>
      <c r="B9" s="9" t="s">
        <v>164</v>
      </c>
      <c r="C9" s="30" t="n">
        <v>1</v>
      </c>
      <c r="D9" s="12" t="n">
        <v>800000</v>
      </c>
      <c r="E9" s="23" t="n">
        <f aca="false">C9*D9</f>
        <v>800000</v>
      </c>
    </row>
    <row r="10" customFormat="false" ht="15" hidden="false" customHeight="false" outlineLevel="0" collapsed="false">
      <c r="A10" s="22" t="s">
        <v>158</v>
      </c>
      <c r="B10" s="9" t="s">
        <v>165</v>
      </c>
      <c r="C10" s="30" t="n">
        <v>1</v>
      </c>
      <c r="D10" s="12" t="n">
        <v>600000</v>
      </c>
      <c r="E10" s="23" t="n">
        <f aca="false">C10*D10</f>
        <v>600000</v>
      </c>
    </row>
    <row r="11" customFormat="false" ht="15" hidden="false" customHeight="false" outlineLevel="0" collapsed="false">
      <c r="A11" s="22" t="s">
        <v>158</v>
      </c>
      <c r="B11" s="9" t="s">
        <v>166</v>
      </c>
      <c r="C11" s="30" t="n">
        <v>2</v>
      </c>
      <c r="D11" s="12" t="n">
        <v>250000</v>
      </c>
      <c r="E11" s="23" t="n">
        <f aca="false">C11*D11</f>
        <v>500000</v>
      </c>
    </row>
    <row r="12" customFormat="false" ht="15" hidden="false" customHeight="false" outlineLevel="0" collapsed="false">
      <c r="A12" s="22" t="s">
        <v>158</v>
      </c>
      <c r="B12" s="9" t="s">
        <v>167</v>
      </c>
      <c r="C12" s="30" t="n">
        <v>1</v>
      </c>
      <c r="D12" s="12" t="n">
        <v>1500000</v>
      </c>
      <c r="E12" s="23" t="n">
        <f aca="false">C12*D12</f>
        <v>1500000</v>
      </c>
    </row>
    <row r="13" customFormat="false" ht="15" hidden="false" customHeight="false" outlineLevel="0" collapsed="false">
      <c r="A13" s="22" t="s">
        <v>158</v>
      </c>
      <c r="B13" s="9" t="s">
        <v>168</v>
      </c>
      <c r="C13" s="30" t="n">
        <v>1</v>
      </c>
      <c r="D13" s="12" t="n">
        <v>400000</v>
      </c>
      <c r="E13" s="23" t="n">
        <f aca="false">C13*D13</f>
        <v>400000</v>
      </c>
    </row>
    <row r="14" customFormat="false" ht="15" hidden="false" customHeight="false" outlineLevel="0" collapsed="false">
      <c r="A14" s="22" t="s">
        <v>158</v>
      </c>
      <c r="B14" s="9" t="s">
        <v>169</v>
      </c>
      <c r="C14" s="30" t="n">
        <v>1</v>
      </c>
      <c r="D14" s="12" t="n">
        <v>150000</v>
      </c>
      <c r="E14" s="23" t="n">
        <f aca="false">C14*D14</f>
        <v>150000</v>
      </c>
    </row>
    <row r="15" customFormat="false" ht="15" hidden="false" customHeight="false" outlineLevel="0" collapsed="false">
      <c r="A15" s="22" t="s">
        <v>158</v>
      </c>
      <c r="B15" s="9" t="s">
        <v>170</v>
      </c>
      <c r="C15" s="30" t="n">
        <v>1</v>
      </c>
      <c r="D15" s="12" t="n">
        <v>500000</v>
      </c>
      <c r="E15" s="23" t="n">
        <f aca="false">C15*D15</f>
        <v>500000</v>
      </c>
    </row>
    <row r="16" customFormat="false" ht="15" hidden="false" customHeight="false" outlineLevel="0" collapsed="false">
      <c r="A16" s="22" t="s">
        <v>158</v>
      </c>
      <c r="B16" s="9" t="s">
        <v>171</v>
      </c>
      <c r="C16" s="30" t="n">
        <v>2</v>
      </c>
      <c r="D16" s="12" t="n">
        <v>300000</v>
      </c>
      <c r="E16" s="23" t="n">
        <f aca="false">C16*D16</f>
        <v>600000</v>
      </c>
    </row>
    <row r="17" customFormat="false" ht="15" hidden="false" customHeight="false" outlineLevel="0" collapsed="false">
      <c r="A17" s="22" t="s">
        <v>158</v>
      </c>
      <c r="B17" s="9" t="s">
        <v>172</v>
      </c>
      <c r="C17" s="30" t="n">
        <v>1</v>
      </c>
      <c r="D17" s="12" t="n">
        <v>350000</v>
      </c>
      <c r="E17" s="23" t="n">
        <f aca="false">C17*D17</f>
        <v>350000</v>
      </c>
    </row>
    <row r="18" customFormat="false" ht="15" hidden="false" customHeight="false" outlineLevel="0" collapsed="false">
      <c r="A18" s="22" t="s">
        <v>158</v>
      </c>
      <c r="B18" s="9" t="s">
        <v>173</v>
      </c>
      <c r="C18" s="30" t="n">
        <v>1</v>
      </c>
      <c r="D18" s="12" t="n">
        <v>400000</v>
      </c>
      <c r="E18" s="23" t="n">
        <f aca="false">C18*D18</f>
        <v>400000</v>
      </c>
    </row>
    <row r="19" customFormat="false" ht="15" hidden="false" customHeight="false" outlineLevel="0" collapsed="false">
      <c r="A19" s="22" t="s">
        <v>174</v>
      </c>
      <c r="B19" s="9" t="s">
        <v>175</v>
      </c>
      <c r="C19" s="30" t="n">
        <v>1</v>
      </c>
      <c r="D19" s="12" t="n">
        <v>1500000</v>
      </c>
      <c r="E19" s="23" t="n">
        <f aca="false">C19*D19</f>
        <v>1500000</v>
      </c>
    </row>
    <row r="20" customFormat="false" ht="15" hidden="false" customHeight="false" outlineLevel="0" collapsed="false">
      <c r="A20" s="22" t="s">
        <v>174</v>
      </c>
      <c r="B20" s="9" t="s">
        <v>176</v>
      </c>
      <c r="C20" s="30" t="n">
        <v>1</v>
      </c>
      <c r="D20" s="12" t="n">
        <v>3000000</v>
      </c>
      <c r="E20" s="23" t="n">
        <f aca="false">C20*D20</f>
        <v>3000000</v>
      </c>
    </row>
    <row r="21" customFormat="false" ht="15" hidden="false" customHeight="false" outlineLevel="0" collapsed="false">
      <c r="A21" s="22" t="s">
        <v>174</v>
      </c>
      <c r="B21" s="9" t="s">
        <v>177</v>
      </c>
      <c r="C21" s="30" t="n">
        <v>1</v>
      </c>
      <c r="D21" s="12" t="n">
        <v>1500000</v>
      </c>
      <c r="E21" s="23" t="n">
        <f aca="false">C21*D21</f>
        <v>1500000</v>
      </c>
    </row>
    <row r="22" customFormat="false" ht="15" hidden="false" customHeight="false" outlineLevel="0" collapsed="false">
      <c r="A22" s="22" t="s">
        <v>174</v>
      </c>
      <c r="B22" s="9" t="s">
        <v>178</v>
      </c>
      <c r="C22" s="30" t="n">
        <v>1</v>
      </c>
      <c r="D22" s="12" t="n">
        <v>500000</v>
      </c>
      <c r="E22" s="23" t="n">
        <f aca="false">C22*D22</f>
        <v>500000</v>
      </c>
    </row>
    <row r="23" customFormat="false" ht="15" hidden="false" customHeight="false" outlineLevel="0" collapsed="false">
      <c r="A23" s="22" t="s">
        <v>174</v>
      </c>
      <c r="B23" s="9" t="s">
        <v>179</v>
      </c>
      <c r="C23" s="30" t="n">
        <v>1</v>
      </c>
      <c r="D23" s="12" t="n">
        <v>1500000</v>
      </c>
      <c r="E23" s="23" t="n">
        <f aca="false">C23*D23</f>
        <v>1500000</v>
      </c>
    </row>
    <row r="24" customFormat="false" ht="15" hidden="false" customHeight="false" outlineLevel="0" collapsed="false">
      <c r="A24" s="22" t="s">
        <v>174</v>
      </c>
      <c r="B24" s="9" t="s">
        <v>180</v>
      </c>
      <c r="C24" s="30" t="n">
        <v>1</v>
      </c>
      <c r="D24" s="12" t="n">
        <v>2000000</v>
      </c>
      <c r="E24" s="23" t="n">
        <f aca="false">C24*D24</f>
        <v>2000000</v>
      </c>
    </row>
    <row r="26" customFormat="false" ht="15" hidden="false" customHeight="false" outlineLevel="0" collapsed="false">
      <c r="B26" s="28" t="s">
        <v>181</v>
      </c>
      <c r="E26" s="31" t="n">
        <f aca="false">SUMIF(A4:A24,"Peralatan",E4:E24)</f>
        <v>12100000</v>
      </c>
    </row>
    <row r="27" customFormat="false" ht="15" hidden="false" customHeight="false" outlineLevel="0" collapsed="false">
      <c r="B27" s="28" t="s">
        <v>182</v>
      </c>
      <c r="E27" s="31" t="n">
        <f aca="false">SUMIF(A4:A24,"Persiapan",E4:E24)</f>
        <v>10000000</v>
      </c>
    </row>
    <row r="28" customFormat="false" ht="15" hidden="false" customHeight="false" outlineLevel="0" collapsed="false">
      <c r="B28" s="28" t="s">
        <v>183</v>
      </c>
      <c r="E28" s="25" t="n">
        <f aca="false">Asumsi!$B$11*'Proyeksi 12 Bulan'!$B$24</f>
        <v>11400000</v>
      </c>
    </row>
    <row r="29" customFormat="false" ht="15" hidden="false" customHeight="false" outlineLevel="0" collapsed="false">
      <c r="B29" s="16" t="s">
        <v>184</v>
      </c>
      <c r="E29" s="17" t="n">
        <f aca="false">SUM(E26:E28)</f>
        <v>33500000</v>
      </c>
    </row>
    <row r="31" customFormat="false" ht="15" hidden="false" customHeight="false" outlineLevel="0" collapsed="false">
      <c r="B31" s="2" t="s">
        <v>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2E0E"/>
    <pageSetUpPr fitToPage="false"/>
  </sheetPr>
  <dimension ref="A1:N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4" min="2" style="0" width="14"/>
  </cols>
  <sheetData>
    <row r="1" customFormat="false" ht="17.35" hidden="false" customHeight="false" outlineLevel="0" collapsed="false">
      <c r="A1" s="1" t="s">
        <v>186</v>
      </c>
    </row>
    <row r="2" customFormat="false" ht="15" hidden="false" customHeight="false" outlineLevel="0" collapsed="false">
      <c r="A2" s="2" t="s">
        <v>187</v>
      </c>
    </row>
    <row r="3" customFormat="false" ht="15" hidden="false" customHeight="false" outlineLevel="0" collapsed="false">
      <c r="A3" s="8" t="s">
        <v>29</v>
      </c>
      <c r="B3" s="8" t="s">
        <v>188</v>
      </c>
      <c r="C3" s="8" t="s">
        <v>189</v>
      </c>
      <c r="D3" s="8" t="s">
        <v>190</v>
      </c>
      <c r="E3" s="8" t="s">
        <v>191</v>
      </c>
      <c r="F3" s="8" t="s">
        <v>192</v>
      </c>
      <c r="G3" s="8" t="s">
        <v>193</v>
      </c>
      <c r="H3" s="8" t="s">
        <v>194</v>
      </c>
      <c r="I3" s="8" t="s">
        <v>195</v>
      </c>
      <c r="J3" s="8" t="s">
        <v>196</v>
      </c>
      <c r="K3" s="8" t="s">
        <v>197</v>
      </c>
      <c r="L3" s="8" t="s">
        <v>198</v>
      </c>
      <c r="M3" s="8" t="s">
        <v>199</v>
      </c>
      <c r="N3" s="8" t="s">
        <v>200</v>
      </c>
    </row>
    <row r="4" customFormat="false" ht="15" hidden="false" customHeight="false" outlineLevel="0" collapsed="false">
      <c r="A4" s="9" t="s">
        <v>201</v>
      </c>
      <c r="B4" s="32" t="n">
        <v>15</v>
      </c>
      <c r="C4" s="32" t="n">
        <v>22</v>
      </c>
      <c r="D4" s="32" t="n">
        <v>30</v>
      </c>
      <c r="E4" s="32" t="n">
        <v>36</v>
      </c>
      <c r="F4" s="32" t="n">
        <v>42</v>
      </c>
      <c r="G4" s="32" t="n">
        <v>50</v>
      </c>
      <c r="H4" s="32" t="n">
        <v>60</v>
      </c>
      <c r="I4" s="32" t="n">
        <v>66</v>
      </c>
      <c r="J4" s="32" t="n">
        <v>72</v>
      </c>
      <c r="K4" s="32" t="n">
        <v>78</v>
      </c>
      <c r="L4" s="32" t="n">
        <v>84</v>
      </c>
      <c r="M4" s="32" t="n">
        <v>90</v>
      </c>
      <c r="N4" s="9"/>
    </row>
    <row r="5" customFormat="false" ht="15" hidden="false" customHeight="false" outlineLevel="0" collapsed="false">
      <c r="A5" s="9" t="s">
        <v>202</v>
      </c>
      <c r="B5" s="33" t="n">
        <f aca="false">Asumsi!$B$6</f>
        <v>30</v>
      </c>
      <c r="C5" s="33" t="n">
        <f aca="false">Asumsi!$B$6</f>
        <v>30</v>
      </c>
      <c r="D5" s="33" t="n">
        <f aca="false">Asumsi!$B$6</f>
        <v>30</v>
      </c>
      <c r="E5" s="33" t="n">
        <f aca="false">Asumsi!$B$6</f>
        <v>30</v>
      </c>
      <c r="F5" s="33" t="n">
        <f aca="false">Asumsi!$B$6</f>
        <v>30</v>
      </c>
      <c r="G5" s="33" t="n">
        <f aca="false">Asumsi!$B$6</f>
        <v>30</v>
      </c>
      <c r="H5" s="33" t="n">
        <f aca="false">Asumsi!$B$6</f>
        <v>30</v>
      </c>
      <c r="I5" s="33" t="n">
        <f aca="false">Asumsi!$B$6</f>
        <v>30</v>
      </c>
      <c r="J5" s="33" t="n">
        <f aca="false">Asumsi!$B$6</f>
        <v>30</v>
      </c>
      <c r="K5" s="33" t="n">
        <f aca="false">Asumsi!$B$6</f>
        <v>30</v>
      </c>
      <c r="L5" s="33" t="n">
        <f aca="false">Asumsi!$B$6</f>
        <v>30</v>
      </c>
      <c r="M5" s="33" t="n">
        <f aca="false">Asumsi!$B$6</f>
        <v>30</v>
      </c>
      <c r="N5" s="9"/>
    </row>
    <row r="6" customFormat="false" ht="15" hidden="false" customHeight="false" outlineLevel="0" collapsed="false">
      <c r="A6" s="9" t="s">
        <v>203</v>
      </c>
      <c r="B6" s="34" t="n">
        <f aca="false">B4*B5</f>
        <v>450</v>
      </c>
      <c r="C6" s="34" t="n">
        <f aca="false">C4*C5</f>
        <v>660</v>
      </c>
      <c r="D6" s="34" t="n">
        <f aca="false">D4*D5</f>
        <v>900</v>
      </c>
      <c r="E6" s="34" t="n">
        <f aca="false">E4*E5</f>
        <v>1080</v>
      </c>
      <c r="F6" s="34" t="n">
        <f aca="false">F4*F5</f>
        <v>1260</v>
      </c>
      <c r="G6" s="34" t="n">
        <f aca="false">G4*G5</f>
        <v>1500</v>
      </c>
      <c r="H6" s="34" t="n">
        <f aca="false">H4*H5</f>
        <v>1800</v>
      </c>
      <c r="I6" s="34" t="n">
        <f aca="false">I4*I5</f>
        <v>1980</v>
      </c>
      <c r="J6" s="34" t="n">
        <f aca="false">J4*J5</f>
        <v>2160</v>
      </c>
      <c r="K6" s="34" t="n">
        <f aca="false">K4*K5</f>
        <v>2340</v>
      </c>
      <c r="L6" s="34" t="n">
        <f aca="false">L4*L5</f>
        <v>2520</v>
      </c>
      <c r="M6" s="34" t="n">
        <f aca="false">M4*M5</f>
        <v>2700</v>
      </c>
      <c r="N6" s="35" t="n">
        <f aca="false">SUM(B6:M6)</f>
        <v>19350</v>
      </c>
    </row>
    <row r="7" customFormat="false" ht="15" hidden="false" customHeight="false" outlineLevel="0" collapsed="false">
      <c r="A7" s="9" t="s">
        <v>204</v>
      </c>
      <c r="B7" s="23" t="n">
        <f aca="false">B6*'Ringkasan HPP'!$B$20</f>
        <v>16483500</v>
      </c>
      <c r="C7" s="23" t="n">
        <f aca="false">C6*'Ringkasan HPP'!$B$20</f>
        <v>24175800</v>
      </c>
      <c r="D7" s="23" t="n">
        <f aca="false">D6*'Ringkasan HPP'!$B$20</f>
        <v>32967000</v>
      </c>
      <c r="E7" s="23" t="n">
        <f aca="false">E6*'Ringkasan HPP'!$B$20</f>
        <v>39560400</v>
      </c>
      <c r="F7" s="23" t="n">
        <f aca="false">F6*'Ringkasan HPP'!$B$20</f>
        <v>46153800</v>
      </c>
      <c r="G7" s="23" t="n">
        <f aca="false">G6*'Ringkasan HPP'!$B$20</f>
        <v>54945000</v>
      </c>
      <c r="H7" s="23" t="n">
        <f aca="false">H6*'Ringkasan HPP'!$B$20</f>
        <v>65934000</v>
      </c>
      <c r="I7" s="23" t="n">
        <f aca="false">I6*'Ringkasan HPP'!$B$20</f>
        <v>72527400</v>
      </c>
      <c r="J7" s="23" t="n">
        <f aca="false">J6*'Ringkasan HPP'!$B$20</f>
        <v>79120800</v>
      </c>
      <c r="K7" s="23" t="n">
        <f aca="false">K6*'Ringkasan HPP'!$B$20</f>
        <v>85714200</v>
      </c>
      <c r="L7" s="23" t="n">
        <f aca="false">L6*'Ringkasan HPP'!$B$20</f>
        <v>92307600</v>
      </c>
      <c r="M7" s="23" t="n">
        <f aca="false">M6*'Ringkasan HPP'!$B$20</f>
        <v>98901000</v>
      </c>
      <c r="N7" s="31" t="n">
        <f aca="false">SUM(B7:M7)</f>
        <v>708790500</v>
      </c>
    </row>
    <row r="8" customFormat="false" ht="15" hidden="false" customHeight="false" outlineLevel="0" collapsed="false">
      <c r="A8" s="9" t="s">
        <v>205</v>
      </c>
      <c r="B8" s="23" t="n">
        <f aca="false">B7*Asumsi!$B$4</f>
        <v>3296700</v>
      </c>
      <c r="C8" s="23" t="n">
        <f aca="false">C7*Asumsi!$B$4</f>
        <v>4835160</v>
      </c>
      <c r="D8" s="23" t="n">
        <f aca="false">D7*Asumsi!$B$4</f>
        <v>6593400</v>
      </c>
      <c r="E8" s="23" t="n">
        <f aca="false">E7*Asumsi!$B$4</f>
        <v>7912080</v>
      </c>
      <c r="F8" s="23" t="n">
        <f aca="false">F7*Asumsi!$B$4</f>
        <v>9230760</v>
      </c>
      <c r="G8" s="23" t="n">
        <f aca="false">G7*Asumsi!$B$4</f>
        <v>10989000</v>
      </c>
      <c r="H8" s="23" t="n">
        <f aca="false">H7*Asumsi!$B$4</f>
        <v>13186800</v>
      </c>
      <c r="I8" s="23" t="n">
        <f aca="false">I7*Asumsi!$B$4</f>
        <v>14505480</v>
      </c>
      <c r="J8" s="23" t="n">
        <f aca="false">J7*Asumsi!$B$4</f>
        <v>15824160</v>
      </c>
      <c r="K8" s="23" t="n">
        <f aca="false">K7*Asumsi!$B$4</f>
        <v>17142840</v>
      </c>
      <c r="L8" s="23" t="n">
        <f aca="false">L7*Asumsi!$B$4</f>
        <v>18461520</v>
      </c>
      <c r="M8" s="23" t="n">
        <f aca="false">M7*Asumsi!$B$4</f>
        <v>19780200</v>
      </c>
      <c r="N8" s="31" t="n">
        <f aca="false">SUM(B8:M8)</f>
        <v>141758100</v>
      </c>
    </row>
    <row r="9" customFormat="false" ht="15" hidden="false" customHeight="false" outlineLevel="0" collapsed="false">
      <c r="A9" s="9" t="s">
        <v>206</v>
      </c>
      <c r="B9" s="23" t="n">
        <f aca="false">B6*'Ringkasan HPP'!$B$21</f>
        <v>7756500</v>
      </c>
      <c r="C9" s="23" t="n">
        <f aca="false">C6*'Ringkasan HPP'!$B$21</f>
        <v>11376200</v>
      </c>
      <c r="D9" s="23" t="n">
        <f aca="false">D6*'Ringkasan HPP'!$B$21</f>
        <v>15513000</v>
      </c>
      <c r="E9" s="23" t="n">
        <f aca="false">E6*'Ringkasan HPP'!$B$21</f>
        <v>18615600</v>
      </c>
      <c r="F9" s="23" t="n">
        <f aca="false">F6*'Ringkasan HPP'!$B$21</f>
        <v>21718200</v>
      </c>
      <c r="G9" s="23" t="n">
        <f aca="false">G6*'Ringkasan HPP'!$B$21</f>
        <v>25855000</v>
      </c>
      <c r="H9" s="23" t="n">
        <f aca="false">H6*'Ringkasan HPP'!$B$21</f>
        <v>31026000</v>
      </c>
      <c r="I9" s="23" t="n">
        <f aca="false">I6*'Ringkasan HPP'!$B$21</f>
        <v>34128600</v>
      </c>
      <c r="J9" s="23" t="n">
        <f aca="false">J6*'Ringkasan HPP'!$B$21</f>
        <v>37231200</v>
      </c>
      <c r="K9" s="23" t="n">
        <f aca="false">K6*'Ringkasan HPP'!$B$21</f>
        <v>40333800</v>
      </c>
      <c r="L9" s="23" t="n">
        <f aca="false">L6*'Ringkasan HPP'!$B$21</f>
        <v>43436400</v>
      </c>
      <c r="M9" s="23" t="n">
        <f aca="false">M6*'Ringkasan HPP'!$B$21</f>
        <v>46539000</v>
      </c>
      <c r="N9" s="31" t="n">
        <f aca="false">SUM(B9:M9)</f>
        <v>333529500</v>
      </c>
    </row>
    <row r="10" customFormat="false" ht="15" hidden="false" customHeight="false" outlineLevel="0" collapsed="false">
      <c r="A10" s="9" t="s">
        <v>207</v>
      </c>
      <c r="B10" s="23" t="n">
        <f aca="false">B6*Asumsi!$B$5</f>
        <v>450000</v>
      </c>
      <c r="C10" s="23" t="n">
        <f aca="false">C6*Asumsi!$B$5</f>
        <v>660000</v>
      </c>
      <c r="D10" s="23" t="n">
        <f aca="false">D6*Asumsi!$B$5</f>
        <v>900000</v>
      </c>
      <c r="E10" s="23" t="n">
        <f aca="false">E6*Asumsi!$B$5</f>
        <v>1080000</v>
      </c>
      <c r="F10" s="23" t="n">
        <f aca="false">F6*Asumsi!$B$5</f>
        <v>1260000</v>
      </c>
      <c r="G10" s="23" t="n">
        <f aca="false">G6*Asumsi!$B$5</f>
        <v>1500000</v>
      </c>
      <c r="H10" s="23" t="n">
        <f aca="false">H6*Asumsi!$B$5</f>
        <v>1800000</v>
      </c>
      <c r="I10" s="23" t="n">
        <f aca="false">I6*Asumsi!$B$5</f>
        <v>1980000</v>
      </c>
      <c r="J10" s="23" t="n">
        <f aca="false">J6*Asumsi!$B$5</f>
        <v>2160000</v>
      </c>
      <c r="K10" s="23" t="n">
        <f aca="false">K6*Asumsi!$B$5</f>
        <v>2340000</v>
      </c>
      <c r="L10" s="23" t="n">
        <f aca="false">L6*Asumsi!$B$5</f>
        <v>2520000</v>
      </c>
      <c r="M10" s="23" t="n">
        <f aca="false">M6*Asumsi!$B$5</f>
        <v>2700000</v>
      </c>
      <c r="N10" s="31" t="n">
        <f aca="false">SUM(B10:M10)</f>
        <v>19350000</v>
      </c>
    </row>
    <row r="11" customFormat="false" ht="15" hidden="false" customHeight="false" outlineLevel="0" collapsed="false">
      <c r="A11" s="19" t="s">
        <v>208</v>
      </c>
      <c r="B11" s="36" t="n">
        <f aca="false">B7-B8-B9-B10</f>
        <v>4980300</v>
      </c>
      <c r="C11" s="36" t="n">
        <f aca="false">C7-C8-C9-C10</f>
        <v>7304440</v>
      </c>
      <c r="D11" s="36" t="n">
        <f aca="false">D7-D8-D9-D10</f>
        <v>9960600</v>
      </c>
      <c r="E11" s="36" t="n">
        <f aca="false">E7-E8-E9-E10</f>
        <v>11952720</v>
      </c>
      <c r="F11" s="36" t="n">
        <f aca="false">F7-F8-F9-F10</f>
        <v>13944840</v>
      </c>
      <c r="G11" s="36" t="n">
        <f aca="false">G7-G8-G9-G10</f>
        <v>16601000</v>
      </c>
      <c r="H11" s="36" t="n">
        <f aca="false">H7-H8-H9-H10</f>
        <v>19921200</v>
      </c>
      <c r="I11" s="36" t="n">
        <f aca="false">I7-I8-I9-I10</f>
        <v>21913320</v>
      </c>
      <c r="J11" s="36" t="n">
        <f aca="false">J7-J8-J9-J10</f>
        <v>23905440</v>
      </c>
      <c r="K11" s="36" t="n">
        <f aca="false">K7-K8-K9-K10</f>
        <v>25897560</v>
      </c>
      <c r="L11" s="36" t="n">
        <f aca="false">L7-L8-L9-L10</f>
        <v>27889680</v>
      </c>
      <c r="M11" s="36" t="n">
        <f aca="false">M7-M8-M9-M10</f>
        <v>29881800</v>
      </c>
      <c r="N11" s="36" t="n">
        <f aca="false">SUM(B11:M11)</f>
        <v>214152900</v>
      </c>
    </row>
    <row r="13" customFormat="false" ht="15" hidden="false" customHeight="false" outlineLevel="0" collapsed="false">
      <c r="A13" s="3" t="s">
        <v>209</v>
      </c>
    </row>
    <row r="14" customFormat="false" ht="15" hidden="false" customHeight="false" outlineLevel="0" collapsed="false">
      <c r="A14" s="9" t="s">
        <v>49</v>
      </c>
      <c r="B14" s="25" t="n">
        <f aca="false">Asumsi!$B$15</f>
        <v>800000</v>
      </c>
      <c r="C14" s="25" t="n">
        <f aca="false">Asumsi!$B$15</f>
        <v>800000</v>
      </c>
      <c r="D14" s="25" t="n">
        <f aca="false">Asumsi!$B$15</f>
        <v>800000</v>
      </c>
      <c r="E14" s="25" t="n">
        <f aca="false">Asumsi!$B$15</f>
        <v>800000</v>
      </c>
      <c r="F14" s="25" t="n">
        <f aca="false">Asumsi!$B$15</f>
        <v>800000</v>
      </c>
      <c r="G14" s="25" t="n">
        <f aca="false">Asumsi!$B$15</f>
        <v>800000</v>
      </c>
      <c r="H14" s="25" t="n">
        <f aca="false">Asumsi!$B$15</f>
        <v>800000</v>
      </c>
      <c r="I14" s="25" t="n">
        <f aca="false">Asumsi!$B$15</f>
        <v>800000</v>
      </c>
      <c r="J14" s="25" t="n">
        <f aca="false">Asumsi!$B$15</f>
        <v>800000</v>
      </c>
      <c r="K14" s="25" t="n">
        <f aca="false">Asumsi!$B$15</f>
        <v>800000</v>
      </c>
      <c r="L14" s="25" t="n">
        <f aca="false">Asumsi!$B$15</f>
        <v>800000</v>
      </c>
      <c r="M14" s="25" t="n">
        <f aca="false">Asumsi!$B$15</f>
        <v>800000</v>
      </c>
      <c r="N14" s="31" t="n">
        <f aca="false">SUM(B14:M14)</f>
        <v>9600000</v>
      </c>
    </row>
    <row r="15" customFormat="false" ht="15" hidden="false" customHeight="false" outlineLevel="0" collapsed="false">
      <c r="A15" s="9" t="s">
        <v>51</v>
      </c>
      <c r="B15" s="25" t="n">
        <f aca="false">Asumsi!$B$16</f>
        <v>500000</v>
      </c>
      <c r="C15" s="25" t="n">
        <f aca="false">Asumsi!$B$16</f>
        <v>500000</v>
      </c>
      <c r="D15" s="25" t="n">
        <f aca="false">Asumsi!$B$16</f>
        <v>500000</v>
      </c>
      <c r="E15" s="25" t="n">
        <f aca="false">Asumsi!$B$16</f>
        <v>500000</v>
      </c>
      <c r="F15" s="25" t="n">
        <f aca="false">Asumsi!$B$16</f>
        <v>500000</v>
      </c>
      <c r="G15" s="25" t="n">
        <f aca="false">Asumsi!$B$16</f>
        <v>500000</v>
      </c>
      <c r="H15" s="25" t="n">
        <f aca="false">Asumsi!$B$16</f>
        <v>500000</v>
      </c>
      <c r="I15" s="25" t="n">
        <f aca="false">Asumsi!$B$16</f>
        <v>500000</v>
      </c>
      <c r="J15" s="25" t="n">
        <f aca="false">Asumsi!$B$16</f>
        <v>500000</v>
      </c>
      <c r="K15" s="25" t="n">
        <f aca="false">Asumsi!$B$16</f>
        <v>500000</v>
      </c>
      <c r="L15" s="25" t="n">
        <f aca="false">Asumsi!$B$16</f>
        <v>500000</v>
      </c>
      <c r="M15" s="25" t="n">
        <f aca="false">Asumsi!$B$16</f>
        <v>500000</v>
      </c>
      <c r="N15" s="31" t="n">
        <f aca="false">SUM(B15:M15)</f>
        <v>6000000</v>
      </c>
    </row>
    <row r="16" customFormat="false" ht="15" hidden="false" customHeight="false" outlineLevel="0" collapsed="false">
      <c r="A16" s="9" t="s">
        <v>53</v>
      </c>
      <c r="B16" s="25" t="n">
        <f aca="false">Asumsi!$B$17</f>
        <v>200000</v>
      </c>
      <c r="C16" s="25" t="n">
        <f aca="false">Asumsi!$B$17</f>
        <v>200000</v>
      </c>
      <c r="D16" s="25" t="n">
        <f aca="false">Asumsi!$B$17</f>
        <v>200000</v>
      </c>
      <c r="E16" s="25" t="n">
        <f aca="false">Asumsi!$B$17</f>
        <v>200000</v>
      </c>
      <c r="F16" s="25" t="n">
        <f aca="false">Asumsi!$B$17</f>
        <v>200000</v>
      </c>
      <c r="G16" s="25" t="n">
        <f aca="false">Asumsi!$B$17</f>
        <v>200000</v>
      </c>
      <c r="H16" s="25" t="n">
        <f aca="false">Asumsi!$B$17</f>
        <v>200000</v>
      </c>
      <c r="I16" s="25" t="n">
        <f aca="false">Asumsi!$B$17</f>
        <v>200000</v>
      </c>
      <c r="J16" s="25" t="n">
        <f aca="false">Asumsi!$B$17</f>
        <v>200000</v>
      </c>
      <c r="K16" s="25" t="n">
        <f aca="false">Asumsi!$B$17</f>
        <v>200000</v>
      </c>
      <c r="L16" s="25" t="n">
        <f aca="false">Asumsi!$B$17</f>
        <v>200000</v>
      </c>
      <c r="M16" s="25" t="n">
        <f aca="false">Asumsi!$B$17</f>
        <v>200000</v>
      </c>
      <c r="N16" s="31" t="n">
        <f aca="false">SUM(B16:M16)</f>
        <v>2400000</v>
      </c>
    </row>
    <row r="17" customFormat="false" ht="15" hidden="false" customHeight="false" outlineLevel="0" collapsed="false">
      <c r="A17" s="9" t="s">
        <v>54</v>
      </c>
      <c r="B17" s="25" t="n">
        <f aca="false">Asumsi!$B$18</f>
        <v>300000</v>
      </c>
      <c r="C17" s="25" t="n">
        <f aca="false">Asumsi!$B$18</f>
        <v>300000</v>
      </c>
      <c r="D17" s="25" t="n">
        <f aca="false">Asumsi!$B$18</f>
        <v>300000</v>
      </c>
      <c r="E17" s="25" t="n">
        <f aca="false">Asumsi!$B$18</f>
        <v>300000</v>
      </c>
      <c r="F17" s="25" t="n">
        <f aca="false">Asumsi!$B$18</f>
        <v>300000</v>
      </c>
      <c r="G17" s="25" t="n">
        <f aca="false">Asumsi!$B$18</f>
        <v>300000</v>
      </c>
      <c r="H17" s="25" t="n">
        <f aca="false">Asumsi!$B$18</f>
        <v>300000</v>
      </c>
      <c r="I17" s="25" t="n">
        <f aca="false">Asumsi!$B$18</f>
        <v>300000</v>
      </c>
      <c r="J17" s="25" t="n">
        <f aca="false">Asumsi!$B$18</f>
        <v>300000</v>
      </c>
      <c r="K17" s="25" t="n">
        <f aca="false">Asumsi!$B$18</f>
        <v>300000</v>
      </c>
      <c r="L17" s="25" t="n">
        <f aca="false">Asumsi!$B$18</f>
        <v>300000</v>
      </c>
      <c r="M17" s="25" t="n">
        <f aca="false">Asumsi!$B$18</f>
        <v>300000</v>
      </c>
      <c r="N17" s="31" t="n">
        <f aca="false">SUM(B17:M17)</f>
        <v>3600000</v>
      </c>
    </row>
    <row r="18" customFormat="false" ht="15" hidden="false" customHeight="false" outlineLevel="0" collapsed="false">
      <c r="A18" s="9" t="s">
        <v>55</v>
      </c>
      <c r="B18" s="25" t="n">
        <f aca="false">Asumsi!$B$19</f>
        <v>400000</v>
      </c>
      <c r="C18" s="25" t="n">
        <f aca="false">Asumsi!$B$19</f>
        <v>400000</v>
      </c>
      <c r="D18" s="25" t="n">
        <f aca="false">Asumsi!$B$19</f>
        <v>400000</v>
      </c>
      <c r="E18" s="25" t="n">
        <f aca="false">Asumsi!$B$19</f>
        <v>400000</v>
      </c>
      <c r="F18" s="25" t="n">
        <f aca="false">Asumsi!$B$19</f>
        <v>400000</v>
      </c>
      <c r="G18" s="25" t="n">
        <f aca="false">Asumsi!$B$19</f>
        <v>400000</v>
      </c>
      <c r="H18" s="25" t="n">
        <f aca="false">Asumsi!$B$19</f>
        <v>400000</v>
      </c>
      <c r="I18" s="25" t="n">
        <f aca="false">Asumsi!$B$19</f>
        <v>400000</v>
      </c>
      <c r="J18" s="25" t="n">
        <f aca="false">Asumsi!$B$19</f>
        <v>400000</v>
      </c>
      <c r="K18" s="25" t="n">
        <f aca="false">Asumsi!$B$19</f>
        <v>400000</v>
      </c>
      <c r="L18" s="25" t="n">
        <f aca="false">Asumsi!$B$19</f>
        <v>400000</v>
      </c>
      <c r="M18" s="25" t="n">
        <f aca="false">Asumsi!$B$19</f>
        <v>400000</v>
      </c>
      <c r="N18" s="31" t="n">
        <f aca="false">SUM(B18:M18)</f>
        <v>4800000</v>
      </c>
    </row>
    <row r="19" customFormat="false" ht="15" hidden="false" customHeight="false" outlineLevel="0" collapsed="false">
      <c r="A19" s="9" t="s">
        <v>210</v>
      </c>
      <c r="B19" s="13" t="n">
        <v>1</v>
      </c>
      <c r="C19" s="13" t="n">
        <v>1</v>
      </c>
      <c r="D19" s="13" t="n">
        <v>1</v>
      </c>
      <c r="E19" s="13" t="n">
        <v>1</v>
      </c>
      <c r="F19" s="13" t="n">
        <v>1</v>
      </c>
      <c r="G19" s="13" t="n">
        <v>2</v>
      </c>
      <c r="H19" s="13" t="n">
        <v>2</v>
      </c>
      <c r="I19" s="13" t="n">
        <v>2</v>
      </c>
      <c r="J19" s="13" t="n">
        <v>2</v>
      </c>
      <c r="K19" s="13" t="n">
        <v>2</v>
      </c>
      <c r="L19" s="13" t="n">
        <v>2</v>
      </c>
      <c r="M19" s="13" t="n">
        <v>2</v>
      </c>
      <c r="N19" s="9"/>
    </row>
    <row r="20" customFormat="false" ht="15" hidden="false" customHeight="false" outlineLevel="0" collapsed="false">
      <c r="A20" s="9" t="s">
        <v>211</v>
      </c>
      <c r="B20" s="23" t="n">
        <f aca="false">B19*Asumsi!$B$7</f>
        <v>2500000</v>
      </c>
      <c r="C20" s="23" t="n">
        <f aca="false">C19*Asumsi!$B$7</f>
        <v>2500000</v>
      </c>
      <c r="D20" s="23" t="n">
        <f aca="false">D19*Asumsi!$B$7</f>
        <v>2500000</v>
      </c>
      <c r="E20" s="23" t="n">
        <f aca="false">E19*Asumsi!$B$7</f>
        <v>2500000</v>
      </c>
      <c r="F20" s="23" t="n">
        <f aca="false">F19*Asumsi!$B$7</f>
        <v>2500000</v>
      </c>
      <c r="G20" s="23" t="n">
        <f aca="false">G19*Asumsi!$B$7</f>
        <v>5000000</v>
      </c>
      <c r="H20" s="23" t="n">
        <f aca="false">H19*Asumsi!$B$7</f>
        <v>5000000</v>
      </c>
      <c r="I20" s="23" t="n">
        <f aca="false">I19*Asumsi!$B$7</f>
        <v>5000000</v>
      </c>
      <c r="J20" s="23" t="n">
        <f aca="false">J19*Asumsi!$B$7</f>
        <v>5000000</v>
      </c>
      <c r="K20" s="23" t="n">
        <f aca="false">K19*Asumsi!$B$7</f>
        <v>5000000</v>
      </c>
      <c r="L20" s="23" t="n">
        <f aca="false">L19*Asumsi!$B$7</f>
        <v>5000000</v>
      </c>
      <c r="M20" s="23" t="n">
        <f aca="false">M19*Asumsi!$B$7</f>
        <v>5000000</v>
      </c>
      <c r="N20" s="31" t="n">
        <f aca="false">SUM(B20:M20)</f>
        <v>47500000</v>
      </c>
    </row>
    <row r="21" customFormat="false" ht="15" hidden="false" customHeight="false" outlineLevel="0" collapsed="false">
      <c r="A21" s="9" t="s">
        <v>212</v>
      </c>
      <c r="B21" s="12" t="n">
        <v>1000000</v>
      </c>
      <c r="C21" s="12" t="n">
        <v>1000000</v>
      </c>
      <c r="D21" s="12" t="n">
        <v>1000000</v>
      </c>
      <c r="E21" s="12" t="n">
        <v>1000000</v>
      </c>
      <c r="F21" s="12" t="n">
        <v>1000000</v>
      </c>
      <c r="G21" s="12" t="n">
        <v>1500000</v>
      </c>
      <c r="H21" s="12" t="n">
        <v>1500000</v>
      </c>
      <c r="I21" s="12" t="n">
        <v>1500000</v>
      </c>
      <c r="J21" s="12" t="n">
        <v>1500000</v>
      </c>
      <c r="K21" s="12" t="n">
        <v>2000000</v>
      </c>
      <c r="L21" s="12" t="n">
        <v>2000000</v>
      </c>
      <c r="M21" s="12" t="n">
        <v>2000000</v>
      </c>
      <c r="N21" s="31" t="n">
        <f aca="false">SUM(B21:M21)</f>
        <v>17000000</v>
      </c>
    </row>
    <row r="22" customFormat="false" ht="15" hidden="false" customHeight="false" outlineLevel="0" collapsed="false">
      <c r="A22" s="9" t="s">
        <v>213</v>
      </c>
      <c r="B22" s="12" t="n">
        <v>0</v>
      </c>
      <c r="C22" s="12" t="n">
        <v>0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1000000</v>
      </c>
      <c r="L22" s="12" t="n">
        <v>1000000</v>
      </c>
      <c r="M22" s="12" t="n">
        <v>1000000</v>
      </c>
      <c r="N22" s="31" t="n">
        <f aca="false">SUM(B22:M22)</f>
        <v>3000000</v>
      </c>
    </row>
    <row r="23" customFormat="false" ht="15" hidden="false" customHeight="false" outlineLevel="0" collapsed="false">
      <c r="A23" s="9" t="s">
        <v>214</v>
      </c>
      <c r="B23" s="25" t="n">
        <f aca="false">Asumsi!$B$8</f>
        <v>0</v>
      </c>
      <c r="C23" s="25" t="n">
        <f aca="false">Asumsi!$B$8</f>
        <v>0</v>
      </c>
      <c r="D23" s="25" t="n">
        <f aca="false">Asumsi!$B$8</f>
        <v>0</v>
      </c>
      <c r="E23" s="25" t="n">
        <f aca="false">Asumsi!$B$8</f>
        <v>0</v>
      </c>
      <c r="F23" s="25" t="n">
        <f aca="false">Asumsi!$B$8</f>
        <v>0</v>
      </c>
      <c r="G23" s="25" t="n">
        <f aca="false">Asumsi!$B$8</f>
        <v>0</v>
      </c>
      <c r="H23" s="25" t="n">
        <f aca="false">Asumsi!$B$8</f>
        <v>0</v>
      </c>
      <c r="I23" s="25" t="n">
        <f aca="false">Asumsi!$B$8</f>
        <v>0</v>
      </c>
      <c r="J23" s="25" t="n">
        <f aca="false">Asumsi!$B$8</f>
        <v>0</v>
      </c>
      <c r="K23" s="25" t="n">
        <f aca="false">Asumsi!$B$8</f>
        <v>0</v>
      </c>
      <c r="L23" s="25" t="n">
        <f aca="false">Asumsi!$B$8</f>
        <v>0</v>
      </c>
      <c r="M23" s="25" t="n">
        <f aca="false">Asumsi!$B$8</f>
        <v>0</v>
      </c>
      <c r="N23" s="31" t="n">
        <f aca="false">SUM(B23:M23)</f>
        <v>0</v>
      </c>
    </row>
    <row r="24" customFormat="false" ht="15" hidden="false" customHeight="false" outlineLevel="0" collapsed="false">
      <c r="A24" s="19" t="s">
        <v>215</v>
      </c>
      <c r="B24" s="36" t="n">
        <f aca="false">SUM(B14:B18)+SUM(B20:B23)</f>
        <v>5700000</v>
      </c>
      <c r="C24" s="36" t="n">
        <f aca="false">SUM(C14:C18)+SUM(C20:C23)</f>
        <v>5700000</v>
      </c>
      <c r="D24" s="36" t="n">
        <f aca="false">SUM(D14:D18)+SUM(D20:D23)</f>
        <v>5700000</v>
      </c>
      <c r="E24" s="36" t="n">
        <f aca="false">SUM(E14:E18)+SUM(E20:E23)</f>
        <v>5700000</v>
      </c>
      <c r="F24" s="36" t="n">
        <f aca="false">SUM(F14:F18)+SUM(F20:F23)</f>
        <v>5700000</v>
      </c>
      <c r="G24" s="36" t="n">
        <f aca="false">SUM(G14:G18)+SUM(G20:G23)</f>
        <v>8700000</v>
      </c>
      <c r="H24" s="36" t="n">
        <f aca="false">SUM(H14:H18)+SUM(H20:H23)</f>
        <v>8700000</v>
      </c>
      <c r="I24" s="36" t="n">
        <f aca="false">SUM(I14:I18)+SUM(I20:I23)</f>
        <v>8700000</v>
      </c>
      <c r="J24" s="36" t="n">
        <f aca="false">SUM(J14:J18)+SUM(J20:J23)</f>
        <v>8700000</v>
      </c>
      <c r="K24" s="36" t="n">
        <f aca="false">SUM(K14:K18)+SUM(K20:K23)</f>
        <v>10200000</v>
      </c>
      <c r="L24" s="36" t="n">
        <f aca="false">SUM(L14:L18)+SUM(L20:L23)</f>
        <v>10200000</v>
      </c>
      <c r="M24" s="36" t="n">
        <f aca="false">SUM(M14:M18)+SUM(M20:M23)</f>
        <v>10200000</v>
      </c>
      <c r="N24" s="36" t="n">
        <f aca="false">SUM(B24:M24)</f>
        <v>93900000</v>
      </c>
    </row>
    <row r="26" customFormat="false" ht="15" hidden="false" customHeight="false" outlineLevel="0" collapsed="false">
      <c r="A26" s="16" t="s">
        <v>216</v>
      </c>
      <c r="B26" s="17" t="n">
        <f aca="false">B11-B24</f>
        <v>-719700.000000001</v>
      </c>
      <c r="C26" s="17" t="n">
        <f aca="false">C11-C24</f>
        <v>1604440</v>
      </c>
      <c r="D26" s="17" t="n">
        <f aca="false">D11-D24</f>
        <v>4260600</v>
      </c>
      <c r="E26" s="17" t="n">
        <f aca="false">E11-E24</f>
        <v>6252720</v>
      </c>
      <c r="F26" s="17" t="n">
        <f aca="false">F11-F24</f>
        <v>8244840</v>
      </c>
      <c r="G26" s="17" t="n">
        <f aca="false">G11-G24</f>
        <v>7901000</v>
      </c>
      <c r="H26" s="17" t="n">
        <f aca="false">H11-H24</f>
        <v>11221200</v>
      </c>
      <c r="I26" s="17" t="n">
        <f aca="false">I11-I24</f>
        <v>13213320</v>
      </c>
      <c r="J26" s="17" t="n">
        <f aca="false">J11-J24</f>
        <v>15205440</v>
      </c>
      <c r="K26" s="17" t="n">
        <f aca="false">K11-K24</f>
        <v>15697560</v>
      </c>
      <c r="L26" s="17" t="n">
        <f aca="false">L11-L24</f>
        <v>17689680</v>
      </c>
      <c r="M26" s="17" t="n">
        <f aca="false">M11-M24</f>
        <v>19681800</v>
      </c>
      <c r="N26" s="17" t="n">
        <f aca="false">SUM(B26:M26)</f>
        <v>120252900</v>
      </c>
    </row>
    <row r="27" customFormat="false" ht="15" hidden="false" customHeight="false" outlineLevel="0" collapsed="false">
      <c r="A27" s="9" t="s">
        <v>217</v>
      </c>
      <c r="B27" s="23" t="n">
        <f aca="false">-'Modal Awal'!$E$29+B26</f>
        <v>-34219700</v>
      </c>
      <c r="C27" s="23" t="n">
        <f aca="false">B27+C26</f>
        <v>-32615260</v>
      </c>
      <c r="D27" s="23" t="n">
        <f aca="false">C27+D26</f>
        <v>-28354660</v>
      </c>
      <c r="E27" s="23" t="n">
        <f aca="false">D27+E26</f>
        <v>-22101940</v>
      </c>
      <c r="F27" s="23" t="n">
        <f aca="false">E27+F26</f>
        <v>-13857100</v>
      </c>
      <c r="G27" s="23" t="n">
        <f aca="false">F27+G26</f>
        <v>-5956100</v>
      </c>
      <c r="H27" s="23" t="n">
        <f aca="false">G27+H26</f>
        <v>5265100</v>
      </c>
      <c r="I27" s="23" t="n">
        <f aca="false">H27+I26</f>
        <v>18478420</v>
      </c>
      <c r="J27" s="23" t="n">
        <f aca="false">I27+J26</f>
        <v>33683860</v>
      </c>
      <c r="K27" s="23" t="n">
        <f aca="false">J27+K26</f>
        <v>49381420</v>
      </c>
      <c r="L27" s="23" t="n">
        <f aca="false">K27+L26</f>
        <v>67071100</v>
      </c>
      <c r="M27" s="23" t="n">
        <f aca="false">L27+M26</f>
        <v>86752900</v>
      </c>
      <c r="N27" s="9"/>
    </row>
    <row r="28" customFormat="false" ht="15" hidden="false" customHeight="false" outlineLevel="0" collapsed="false">
      <c r="A28" s="9" t="s">
        <v>218</v>
      </c>
      <c r="B28" s="26" t="n">
        <f aca="false">IF(B7=0,0,B26/B7)</f>
        <v>-0.0436618436618437</v>
      </c>
      <c r="C28" s="26" t="n">
        <f aca="false">IF(C7=0,0,C26/C7)</f>
        <v>0.0663655390928118</v>
      </c>
      <c r="D28" s="26" t="n">
        <f aca="false">IF(D7=0,0,D26/D7)</f>
        <v>0.129238329238329</v>
      </c>
      <c r="E28" s="26" t="n">
        <f aca="false">IF(E7=0,0,E26/E7)</f>
        <v>0.158055024721691</v>
      </c>
      <c r="F28" s="26" t="n">
        <f aca="false">IF(F7=0,0,F26/F7)</f>
        <v>0.178638378638379</v>
      </c>
      <c r="G28" s="26" t="n">
        <f aca="false">IF(G7=0,0,G26/G7)</f>
        <v>0.143798343798344</v>
      </c>
      <c r="H28" s="26" t="n">
        <f aca="false">IF(H7=0,0,H26/H7)</f>
        <v>0.17018837018837</v>
      </c>
      <c r="I28" s="26" t="n">
        <f aca="false">IF(I7=0,0,I26/I7)</f>
        <v>0.182183836729291</v>
      </c>
      <c r="J28" s="26" t="n">
        <f aca="false">IF(J7=0,0,J26/J7)</f>
        <v>0.192180058846726</v>
      </c>
      <c r="K28" s="26" t="n">
        <f aca="false">IF(K7=0,0,K26/K7)</f>
        <v>0.183138383138383</v>
      </c>
      <c r="L28" s="26" t="n">
        <f aca="false">IF(L7=0,0,L26/L7)</f>
        <v>0.191638391638392</v>
      </c>
      <c r="M28" s="26" t="n">
        <f aca="false">IF(M7=0,0,M26/M7)</f>
        <v>0.199005065671732</v>
      </c>
      <c r="N28" s="29" t="n">
        <f aca="false">IF(N7=0,0,N26/N7)</f>
        <v>0.169659299891858</v>
      </c>
    </row>
    <row r="30" customFormat="false" ht="15" hidden="false" customHeight="false" outlineLevel="0" collapsed="false">
      <c r="A30" s="3" t="s">
        <v>219</v>
      </c>
    </row>
    <row r="31" customFormat="false" ht="15" hidden="false" customHeight="false" outlineLevel="0" collapsed="false">
      <c r="A31" s="9" t="s">
        <v>220</v>
      </c>
      <c r="B31" s="37" t="n">
        <f aca="false">'Modal Awal'!$E$29</f>
        <v>33500000</v>
      </c>
    </row>
    <row r="32" customFormat="false" ht="15" hidden="false" customHeight="false" outlineLevel="0" collapsed="false">
      <c r="A32" s="9" t="s">
        <v>153</v>
      </c>
      <c r="B32" s="37" t="n">
        <f aca="false">'Ringkasan HPP'!$B$24</f>
        <v>11067.3333333333</v>
      </c>
    </row>
    <row r="33" customFormat="false" ht="15" hidden="false" customHeight="false" outlineLevel="0" collapsed="false">
      <c r="A33" s="9" t="s">
        <v>221</v>
      </c>
      <c r="B33" s="38" t="n">
        <f aca="false">IF('Ringkasan HPP'!$B$24&lt;=0,0,B24/'Ringkasan HPP'!$B$24/B5)</f>
        <v>17.1676405035841</v>
      </c>
    </row>
    <row r="34" customFormat="false" ht="15" hidden="false" customHeight="false" outlineLevel="0" collapsed="false">
      <c r="A34" s="9" t="s">
        <v>222</v>
      </c>
      <c r="B34" s="39" t="n">
        <f aca="false">IF(COUNTIF(B27:M27,"&lt;0")&gt;=12,"&gt; 12 bulan",COUNTIF(B27:M27,"&lt;0")+1)</f>
        <v>7</v>
      </c>
    </row>
    <row r="35" customFormat="false" ht="15" hidden="false" customHeight="false" outlineLevel="0" collapsed="false">
      <c r="A35" s="9" t="s">
        <v>223</v>
      </c>
      <c r="B35" s="40" t="n">
        <f aca="false">N26</f>
        <v>120252900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2026-10-21T16:34:57Z</dcterms:created>
  <dc:creator>openpyxl</dc:creator>
  <dc:description/>
  <dc:language>en-US</dc:language>
  <cp:lastModifiedBy/>
  <dcterms:modified xsi:type="dcterms:W3CDTF">2026-10-21T16:34:57Z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