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umsi" sheetId="1" state="visible" r:id="rId1"/>
    <sheet xmlns:r="http://schemas.openxmlformats.org/officeDocument/2006/relationships" name="Modal" sheetId="2" state="visible" r:id="rId2"/>
    <sheet xmlns:r="http://schemas.openxmlformats.org/officeDocument/2006/relationships" name="HPP Menu" sheetId="3" state="visible" r:id="rId3"/>
    <sheet xmlns:r="http://schemas.openxmlformats.org/officeDocument/2006/relationships" name="Proyeksi 12 Bulan" sheetId="4" state="visible" r:id="rId4"/>
    <sheet xmlns:r="http://schemas.openxmlformats.org/officeDocument/2006/relationships" name="Skenario &amp; BE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p&quot; #,##0;[Red]-&quot;Rp&quot; #,##0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B3A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165" fontId="0" fillId="2" borderId="0" pivotButton="0" quotePrefix="0" xfId="0"/>
    <xf numFmtId="1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ASUMSI UTAMA (sel kuning = boleh diubah)</t>
        </is>
      </c>
    </row>
    <row r="3">
      <c r="A3" t="inlineStr">
        <is>
          <t>Rata-rata nilai transaksi (Rp)</t>
        </is>
      </c>
      <c r="B3" s="2" t="n">
        <v>15000</v>
      </c>
    </row>
    <row r="4">
      <c r="A4" t="inlineStr">
        <is>
          <t>HPP rata-rata (% omzet)</t>
        </is>
      </c>
      <c r="B4" s="3" t="n">
        <v>0.46</v>
      </c>
    </row>
    <row r="5">
      <c r="A5" t="inlineStr">
        <is>
          <t>Hari buka per bulan</t>
        </is>
      </c>
      <c r="B5" s="4" t="n">
        <v>30</v>
      </c>
    </row>
    <row r="6">
      <c r="A6" t="inlineStr">
        <is>
          <t>PPh Final UMKM (% omzet)</t>
        </is>
      </c>
      <c r="B6" s="3" t="n">
        <v>0.005</v>
      </c>
    </row>
    <row r="7">
      <c r="A7" t="inlineStr">
        <is>
          <t>Porsi transaksi via QRIS</t>
        </is>
      </c>
      <c r="B7" s="3" t="n">
        <v>0.5</v>
      </c>
    </row>
    <row r="8">
      <c r="A8" t="inlineStr">
        <is>
          <t>MDR QRIS (%)</t>
        </is>
      </c>
      <c r="B8" s="3" t="n">
        <v>0.003</v>
      </c>
    </row>
    <row r="11">
      <c r="A11" s="5" t="inlineStr">
        <is>
          <t>BIAYA TETAP BULANAN</t>
        </is>
      </c>
    </row>
    <row r="12">
      <c r="A12" t="inlineStr">
        <is>
          <t>Sewa (Rp1,2jt/bulan)</t>
        </is>
      </c>
      <c r="B12" s="2" t="n">
        <v>1200000</v>
      </c>
    </row>
    <row r="13">
      <c r="A13" t="inlineStr">
        <is>
          <t>Gaji 2 crew</t>
        </is>
      </c>
      <c r="B13" s="2" t="n">
        <v>5000000</v>
      </c>
    </row>
    <row r="14">
      <c r="A14" t="inlineStr">
        <is>
          <t>Uang makan &amp; bonus target</t>
        </is>
      </c>
      <c r="B14" s="2" t="n">
        <v>800000</v>
      </c>
    </row>
    <row r="15">
      <c r="A15" t="inlineStr">
        <is>
          <t>Listrik (2.200 VA)</t>
        </is>
      </c>
      <c r="B15" s="2" t="n">
        <v>1000000</v>
      </c>
    </row>
    <row r="16">
      <c r="A16" t="inlineStr">
        <is>
          <t>Gas LPG 12 kg</t>
        </is>
      </c>
      <c r="B16" s="2" t="n">
        <v>1000000</v>
      </c>
    </row>
    <row r="17">
      <c r="A17" t="inlineStr">
        <is>
          <t>Air, galon &amp; internet</t>
        </is>
      </c>
      <c r="B17" s="2" t="n">
        <v>600000</v>
      </c>
    </row>
    <row r="18">
      <c r="A18" t="inlineStr">
        <is>
          <t>Marketing rutin &amp; konten</t>
        </is>
      </c>
      <c r="B18" s="2" t="n">
        <v>500000</v>
      </c>
    </row>
    <row r="19">
      <c r="A19" t="inlineStr">
        <is>
          <t>POS &amp; aplikasi (versi gratis)</t>
        </is>
      </c>
      <c r="B19" s="2" t="n">
        <v>0</v>
      </c>
    </row>
    <row r="20">
      <c r="A20" t="inlineStr">
        <is>
          <t>Kebersihan &amp; perawatan alat</t>
        </is>
      </c>
      <c r="B20" s="2" t="n">
        <v>300000</v>
      </c>
    </row>
    <row r="21">
      <c r="A21" t="inlineStr">
        <is>
          <t>Lain-lain / tak terduga</t>
        </is>
      </c>
      <c r="B21" s="2" t="n">
        <v>400000</v>
      </c>
    </row>
    <row r="22">
      <c r="A22" t="inlineStr">
        <is>
          <t>Penyusutan alat (± Rp19,4jt / 48 bln)</t>
        </is>
      </c>
      <c r="B22" s="2" t="n">
        <v>400000</v>
      </c>
    </row>
    <row r="23">
      <c r="A23" s="5" t="inlineStr">
        <is>
          <t>TOTAL BIAYA TETAP</t>
        </is>
      </c>
      <c r="B23" s="6">
        <f>SUM(B12:B22)</f>
        <v/>
      </c>
    </row>
    <row r="25">
      <c r="A25" s="5" t="inlineStr">
        <is>
          <t>TARGET TRANSAKSI PER HARI (ramp-up)</t>
        </is>
      </c>
      <c r="C25" t="inlineStr">
        <is>
          <t>Bulan sewa dibayar di muka:</t>
        </is>
      </c>
      <c r="D25" s="7" t="n">
        <v>6</v>
      </c>
    </row>
    <row r="26">
      <c r="A26" t="inlineStr">
        <is>
          <t>Bulan 1</t>
        </is>
      </c>
      <c r="B26" s="7" t="n">
        <v>45</v>
      </c>
    </row>
    <row r="27">
      <c r="A27" t="inlineStr">
        <is>
          <t>Bulan 2</t>
        </is>
      </c>
      <c r="B27" s="7" t="n">
        <v>55</v>
      </c>
    </row>
    <row r="28">
      <c r="A28" t="inlineStr">
        <is>
          <t>Bulan 3</t>
        </is>
      </c>
      <c r="B28" s="7" t="n">
        <v>60</v>
      </c>
    </row>
    <row r="29">
      <c r="A29" t="inlineStr">
        <is>
          <t>Bulan 4</t>
        </is>
      </c>
      <c r="B29" s="7" t="n">
        <v>65</v>
      </c>
    </row>
    <row r="30">
      <c r="A30" t="inlineStr">
        <is>
          <t>Bulan 5</t>
        </is>
      </c>
      <c r="B30" s="7" t="n">
        <v>70</v>
      </c>
    </row>
    <row r="31">
      <c r="A31" t="inlineStr">
        <is>
          <t>Bulan 6</t>
        </is>
      </c>
      <c r="B31" s="7" t="n">
        <v>75</v>
      </c>
    </row>
    <row r="32">
      <c r="A32" t="inlineStr">
        <is>
          <t>Bulan 7</t>
        </is>
      </c>
      <c r="B32" s="7" t="n">
        <v>80</v>
      </c>
    </row>
    <row r="33">
      <c r="A33" t="inlineStr">
        <is>
          <t>Bulan 8</t>
        </is>
      </c>
      <c r="B33" s="7" t="n">
        <v>80</v>
      </c>
    </row>
    <row r="34">
      <c r="A34" t="inlineStr">
        <is>
          <t>Bulan 9</t>
        </is>
      </c>
      <c r="B34" s="7" t="n">
        <v>85</v>
      </c>
    </row>
    <row r="35">
      <c r="A35" t="inlineStr">
        <is>
          <t>Bulan 10</t>
        </is>
      </c>
      <c r="B35" s="7" t="n">
        <v>85</v>
      </c>
    </row>
    <row r="36">
      <c r="A36" t="inlineStr">
        <is>
          <t>Bulan 11</t>
        </is>
      </c>
      <c r="B36" s="7" t="n">
        <v>90</v>
      </c>
    </row>
    <row r="37">
      <c r="A37" t="inlineStr">
        <is>
          <t>Bulan 12</t>
        </is>
      </c>
      <c r="B37" s="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6" customWidth="1" min="3" max="3"/>
    <col width="16" customWidth="1" min="4" max="4"/>
    <col width="16" customWidth="1" min="5" max="5"/>
    <col width="2" customWidth="1" min="6" max="6"/>
    <col width="16" customWidth="1" min="7" max="7"/>
    <col width="16" customWidth="1" min="8" max="8"/>
  </cols>
  <sheetData>
    <row r="1">
      <c r="A1" s="8" t="inlineStr">
        <is>
          <t>Kategori</t>
        </is>
      </c>
      <c r="B1" s="8" t="inlineStr">
        <is>
          <t>Item</t>
        </is>
      </c>
      <c r="C1" s="8" t="inlineStr">
        <is>
          <t>Qty</t>
        </is>
      </c>
      <c r="D1" s="8" t="inlineStr">
        <is>
          <t>Harga Satuan</t>
        </is>
      </c>
      <c r="E1" s="8" t="inlineStr">
        <is>
          <t>Subtotal</t>
        </is>
      </c>
      <c r="G1" s="5" t="inlineStr">
        <is>
          <t>Ringkasan Kategori</t>
        </is>
      </c>
    </row>
    <row r="2">
      <c r="A2" t="inlineStr">
        <is>
          <t>A. Tempat</t>
        </is>
      </c>
      <c r="B2" t="inlineStr">
        <is>
          <t>Sewa kios 3x8 m + teras, 6 bulan di muka (Rp1,2jt/bln)</t>
        </is>
      </c>
      <c r="C2" s="7" t="n">
        <v>6</v>
      </c>
      <c r="D2" s="2" t="n">
        <v>1200000</v>
      </c>
      <c r="E2" s="9">
        <f>C2*D2</f>
        <v/>
      </c>
      <c r="G2" t="inlineStr">
        <is>
          <t>A. Tempat</t>
        </is>
      </c>
      <c r="H2" s="9">
        <f>SUMIF($A$2:$A$41,G2,$E$2:$E$41)</f>
        <v/>
      </c>
    </row>
    <row r="3">
      <c r="A3" t="inlineStr">
        <is>
          <t>B. Renovasi</t>
        </is>
      </c>
      <c r="B3" t="inlineStr">
        <is>
          <t>Cat &amp; mural sederhana (DIY)</t>
        </is>
      </c>
      <c r="C3" s="7" t="n">
        <v>1</v>
      </c>
      <c r="D3" s="2" t="n">
        <v>1500000</v>
      </c>
      <c r="E3" s="9">
        <f>C3*D3</f>
        <v/>
      </c>
      <c r="G3" t="inlineStr">
        <is>
          <t>B. Renovasi</t>
        </is>
      </c>
      <c r="H3" s="9">
        <f>SUMIF($A$2:$A$41,G3,$E$2:$E$41)</f>
        <v/>
      </c>
    </row>
    <row r="4">
      <c r="A4" t="inlineStr">
        <is>
          <t>B. Renovasi</t>
        </is>
      </c>
      <c r="B4" t="inlineStr">
        <is>
          <t>Tambah stop kontak &amp; instalasi listrik</t>
        </is>
      </c>
      <c r="C4" s="7" t="n">
        <v>1</v>
      </c>
      <c r="D4" s="2" t="n">
        <v>1200000</v>
      </c>
      <c r="E4" s="9">
        <f>C4*D4</f>
        <v/>
      </c>
      <c r="G4" t="inlineStr">
        <is>
          <t>C. Bar Minuman</t>
        </is>
      </c>
      <c r="H4" s="9">
        <f>SUMIF($A$2:$A$41,G4,$E$2:$E$41)</f>
        <v/>
      </c>
    </row>
    <row r="5">
      <c r="A5" t="inlineStr">
        <is>
          <t>B. Renovasi</t>
        </is>
      </c>
      <c r="B5" t="inlineStr">
        <is>
          <t>Lampu LED hangat</t>
        </is>
      </c>
      <c r="C5" s="7" t="n">
        <v>1</v>
      </c>
      <c r="D5" s="2" t="n">
        <v>600000</v>
      </c>
      <c r="E5" s="9">
        <f>C5*D5</f>
        <v/>
      </c>
      <c r="G5" t="inlineStr">
        <is>
          <t>D. Dapur</t>
        </is>
      </c>
      <c r="H5" s="9">
        <f>SUMIF($A$2:$A$41,G5,$E$2:$E$41)</f>
        <v/>
      </c>
    </row>
    <row r="6">
      <c r="A6" t="inlineStr">
        <is>
          <t>B. Renovasi</t>
        </is>
      </c>
      <c r="B6" t="inlineStr">
        <is>
          <t>Counter bar sederhana (kayu/besi hollow)</t>
        </is>
      </c>
      <c r="C6" s="7" t="n">
        <v>1</v>
      </c>
      <c r="D6" s="2" t="n">
        <v>1200000</v>
      </c>
      <c r="E6" s="9">
        <f>C6*D6</f>
        <v/>
      </c>
      <c r="G6" t="inlineStr">
        <is>
          <t>E. Furniture</t>
        </is>
      </c>
      <c r="H6" s="9">
        <f>SUMIF($A$2:$A$41,G6,$E$2:$E$41)</f>
        <v/>
      </c>
    </row>
    <row r="7">
      <c r="A7" t="inlineStr">
        <is>
          <t>B. Renovasi</t>
        </is>
      </c>
      <c r="B7" t="inlineStr">
        <is>
          <t>Wastafel &amp; plumbing kecil</t>
        </is>
      </c>
      <c r="C7" s="7" t="n">
        <v>1</v>
      </c>
      <c r="D7" s="2" t="n">
        <v>500000</v>
      </c>
      <c r="E7" s="9">
        <f>C7*D7</f>
        <v/>
      </c>
      <c r="G7" t="inlineStr">
        <is>
          <t>F. Sistem</t>
        </is>
      </c>
      <c r="H7" s="9">
        <f>SUMIF($A$2:$A$41,G7,$E$2:$E$41)</f>
        <v/>
      </c>
    </row>
    <row r="8">
      <c r="A8" t="inlineStr">
        <is>
          <t>C. Bar Minuman</t>
        </is>
      </c>
      <c r="B8" t="inlineStr">
        <is>
          <t>Rak &amp; gantungan renteng sachet</t>
        </is>
      </c>
      <c r="C8" s="7" t="n">
        <v>1</v>
      </c>
      <c r="D8" s="2" t="n">
        <v>300000</v>
      </c>
      <c r="E8" s="9">
        <f>C8*D8</f>
        <v/>
      </c>
      <c r="G8" t="inlineStr">
        <is>
          <t>G. Branding</t>
        </is>
      </c>
      <c r="H8" s="9">
        <f>SUMIF($A$2:$A$41,G8,$E$2:$E$41)</f>
        <v/>
      </c>
    </row>
    <row r="9">
      <c r="A9" t="inlineStr">
        <is>
          <t>C. Bar Minuman</t>
        </is>
      </c>
      <c r="B9" t="inlineStr">
        <is>
          <t>Water boiler 10 L</t>
        </is>
      </c>
      <c r="C9" s="7" t="n">
        <v>1</v>
      </c>
      <c r="D9" s="2" t="n">
        <v>1000000</v>
      </c>
      <c r="E9" s="9">
        <f>C9*D9</f>
        <v/>
      </c>
      <c r="G9" t="inlineStr">
        <is>
          <t>H. Legal</t>
        </is>
      </c>
      <c r="H9" s="9">
        <f>SUMIF($A$2:$A$41,G9,$E$2:$E$41)</f>
        <v/>
      </c>
    </row>
    <row r="10">
      <c r="A10" t="inlineStr">
        <is>
          <t>C. Bar Minuman</t>
        </is>
      </c>
      <c r="B10" t="inlineStr">
        <is>
          <t>Blender (es sachet/Pop Ice)</t>
        </is>
      </c>
      <c r="C10" s="7" t="n">
        <v>1</v>
      </c>
      <c r="D10" s="2" t="n">
        <v>800000</v>
      </c>
      <c r="E10" s="9">
        <f>C10*D10</f>
        <v/>
      </c>
      <c r="G10" t="inlineStr">
        <is>
          <t>I. Stok Awal</t>
        </is>
      </c>
      <c r="H10" s="9">
        <f>SUMIF($A$2:$A$41,G10,$E$2:$E$41)</f>
        <v/>
      </c>
    </row>
    <row r="11">
      <c r="A11" t="inlineStr">
        <is>
          <t>C. Bar Minuman</t>
        </is>
      </c>
      <c r="B11" t="inlineStr">
        <is>
          <t>Panci besar burjo &amp; ketan hitam</t>
        </is>
      </c>
      <c r="C11" s="7" t="n">
        <v>1</v>
      </c>
      <c r="D11" s="2" t="n">
        <v>400000</v>
      </c>
      <c r="E11" s="9">
        <f>C11*D11</f>
        <v/>
      </c>
      <c r="G11" t="inlineStr">
        <is>
          <t>J. Marketing</t>
        </is>
      </c>
      <c r="H11" s="9">
        <f>SUMIF($A$2:$A$41,G11,$E$2:$E$41)</f>
        <v/>
      </c>
    </row>
    <row r="12">
      <c r="A12" t="inlineStr">
        <is>
          <t>C. Bar Minuman</t>
        </is>
      </c>
      <c r="B12" t="inlineStr">
        <is>
          <t>Teko, gelas takar &amp; termos</t>
        </is>
      </c>
      <c r="C12" s="7" t="n">
        <v>1</v>
      </c>
      <c r="D12" s="2" t="n">
        <v>200000</v>
      </c>
      <c r="E12" s="9">
        <f>C12*D12</f>
        <v/>
      </c>
      <c r="G12" t="inlineStr">
        <is>
          <t>K. Cadangan</t>
        </is>
      </c>
      <c r="H12" s="9">
        <f>SUMIF($A$2:$A$41,G12,$E$2:$E$41)</f>
        <v/>
      </c>
    </row>
    <row r="13">
      <c r="A13" t="inlineStr">
        <is>
          <t>D. Dapur</t>
        </is>
      </c>
      <c r="B13" t="inlineStr">
        <is>
          <t>Kompor 2 tungku + selang &amp; regulator</t>
        </is>
      </c>
      <c r="C13" s="7" t="n">
        <v>1</v>
      </c>
      <c r="D13" s="2" t="n">
        <v>800000</v>
      </c>
      <c r="E13" s="9">
        <f>C13*D13</f>
        <v/>
      </c>
    </row>
    <row r="14">
      <c r="A14" t="inlineStr">
        <is>
          <t>D. Dapur</t>
        </is>
      </c>
      <c r="B14" t="inlineStr">
        <is>
          <t>Tabung LPG 12 kg + isi</t>
        </is>
      </c>
      <c r="C14" s="7" t="n">
        <v>2</v>
      </c>
      <c r="D14" s="2" t="n">
        <v>900000</v>
      </c>
      <c r="E14" s="9">
        <f>C14*D14</f>
        <v/>
      </c>
    </row>
    <row r="15">
      <c r="A15" t="inlineStr">
        <is>
          <t>D. Dapur</t>
        </is>
      </c>
      <c r="B15" t="inlineStr">
        <is>
          <t>Plat pemanggang roti bakar</t>
        </is>
      </c>
      <c r="C15" s="7" t="n">
        <v>1</v>
      </c>
      <c r="D15" s="2" t="n">
        <v>500000</v>
      </c>
      <c r="E15" s="9">
        <f>C15*D15</f>
        <v/>
      </c>
    </row>
    <row r="16">
      <c r="A16" t="inlineStr">
        <is>
          <t>D. Dapur</t>
        </is>
      </c>
      <c r="B16" t="inlineStr">
        <is>
          <t>Wajan &amp; alat gorengan</t>
        </is>
      </c>
      <c r="C16" s="7" t="n">
        <v>1</v>
      </c>
      <c r="D16" s="2" t="n">
        <v>400000</v>
      </c>
      <c r="E16" s="9">
        <f>C16*D16</f>
        <v/>
      </c>
    </row>
    <row r="17">
      <c r="A17" t="inlineStr">
        <is>
          <t>D. Dapur</t>
        </is>
      </c>
      <c r="B17" t="inlineStr">
        <is>
          <t>Rice cooker 5 L</t>
        </is>
      </c>
      <c r="C17" s="7" t="n">
        <v>1</v>
      </c>
      <c r="D17" s="2" t="n">
        <v>450000</v>
      </c>
      <c r="E17" s="9">
        <f>C17*D17</f>
        <v/>
      </c>
    </row>
    <row r="18">
      <c r="A18" t="inlineStr">
        <is>
          <t>D. Dapur</t>
        </is>
      </c>
      <c r="B18" t="inlineStr">
        <is>
          <t>Kulkas showcase 1 pintu</t>
        </is>
      </c>
      <c r="C18" s="7" t="n">
        <v>1</v>
      </c>
      <c r="D18" s="2" t="n">
        <v>3800000</v>
      </c>
      <c r="E18" s="9">
        <f>C18*D18</f>
        <v/>
      </c>
    </row>
    <row r="19">
      <c r="A19" t="inlineStr">
        <is>
          <t>D. Dapur</t>
        </is>
      </c>
      <c r="B19" t="inlineStr">
        <is>
          <t>Cool box es batu</t>
        </is>
      </c>
      <c r="C19" s="7" t="n">
        <v>2</v>
      </c>
      <c r="D19" s="2" t="n">
        <v>250000</v>
      </c>
      <c r="E19" s="9">
        <f>C19*D19</f>
        <v/>
      </c>
    </row>
    <row r="20">
      <c r="A20" t="inlineStr">
        <is>
          <t>D. Dapur</t>
        </is>
      </c>
      <c r="B20" t="inlineStr">
        <is>
          <t>Peralatan masak</t>
        </is>
      </c>
      <c r="C20" s="7" t="n">
        <v>1</v>
      </c>
      <c r="D20" s="2" t="n">
        <v>800000</v>
      </c>
      <c r="E20" s="9">
        <f>C20*D20</f>
        <v/>
      </c>
    </row>
    <row r="21">
      <c r="A21" t="inlineStr">
        <is>
          <t>D. Dapur</t>
        </is>
      </c>
      <c r="B21" t="inlineStr">
        <is>
          <t>Peralatan saji 40 set</t>
        </is>
      </c>
      <c r="C21" s="7" t="n">
        <v>1</v>
      </c>
      <c r="D21" s="2" t="n">
        <v>700000</v>
      </c>
      <c r="E21" s="9">
        <f>C21*D21</f>
        <v/>
      </c>
    </row>
    <row r="22">
      <c r="A22" t="inlineStr">
        <is>
          <t>E. Furniture</t>
        </is>
      </c>
      <c r="B22" t="inlineStr">
        <is>
          <t>Meja</t>
        </is>
      </c>
      <c r="C22" s="7" t="n">
        <v>4</v>
      </c>
      <c r="D22" s="2" t="n">
        <v>400000</v>
      </c>
      <c r="E22" s="9">
        <f>C22*D22</f>
        <v/>
      </c>
    </row>
    <row r="23">
      <c r="A23" t="inlineStr">
        <is>
          <t>E. Furniture</t>
        </is>
      </c>
      <c r="B23" t="inlineStr">
        <is>
          <t>Kursi / bangku</t>
        </is>
      </c>
      <c r="C23" s="7" t="n">
        <v>16</v>
      </c>
      <c r="D23" s="2" t="n">
        <v>100000</v>
      </c>
      <c r="E23" s="9">
        <f>C23*D23</f>
        <v/>
      </c>
    </row>
    <row r="24">
      <c r="A24" t="inlineStr">
        <is>
          <t>E. Furniture</t>
        </is>
      </c>
      <c r="B24" t="inlineStr">
        <is>
          <t>Meja bar dinding + 4 stool</t>
        </is>
      </c>
      <c r="C24" s="7" t="n">
        <v>1</v>
      </c>
      <c r="D24" s="2" t="n">
        <v>800000</v>
      </c>
      <c r="E24" s="9">
        <f>C24*D24</f>
        <v/>
      </c>
    </row>
    <row r="25">
      <c r="A25" t="inlineStr">
        <is>
          <t>E. Furniture</t>
        </is>
      </c>
      <c r="B25" t="inlineStr">
        <is>
          <t>Rak penyimpanan</t>
        </is>
      </c>
      <c r="C25" s="7" t="n">
        <v>1</v>
      </c>
      <c r="D25" s="2" t="n">
        <v>300000</v>
      </c>
      <c r="E25" s="9">
        <f>C25*D25</f>
        <v/>
      </c>
    </row>
    <row r="26">
      <c r="A26" t="inlineStr">
        <is>
          <t>E. Furniture</t>
        </is>
      </c>
      <c r="B26" t="inlineStr">
        <is>
          <t>Kipas angin dinding</t>
        </is>
      </c>
      <c r="C26" s="7" t="n">
        <v>2</v>
      </c>
      <c r="D26" s="2" t="n">
        <v>300000</v>
      </c>
      <c r="E26" s="9">
        <f>C26*D26</f>
        <v/>
      </c>
    </row>
    <row r="27">
      <c r="A27" t="inlineStr">
        <is>
          <t>F. Sistem</t>
        </is>
      </c>
      <c r="B27" t="inlineStr">
        <is>
          <t>Printer struk thermal bluetooth (POS di HP)</t>
        </is>
      </c>
      <c r="C27" s="7" t="n">
        <v>1</v>
      </c>
      <c r="D27" s="2" t="n">
        <v>400000</v>
      </c>
      <c r="E27" s="9">
        <f>C27*D27</f>
        <v/>
      </c>
    </row>
    <row r="28">
      <c r="A28" t="inlineStr">
        <is>
          <t>F. Sistem</t>
        </is>
      </c>
      <c r="B28" t="inlineStr">
        <is>
          <t>CCTV WiFi 2 kamera</t>
        </is>
      </c>
      <c r="C28" s="7" t="n">
        <v>2</v>
      </c>
      <c r="D28" s="2" t="n">
        <v>350000</v>
      </c>
      <c r="E28" s="9">
        <f>C28*D28</f>
        <v/>
      </c>
    </row>
    <row r="29">
      <c r="A29" t="inlineStr">
        <is>
          <t>F. Sistem</t>
        </is>
      </c>
      <c r="B29" t="inlineStr">
        <is>
          <t>Pemasangan internet / WiFi</t>
        </is>
      </c>
      <c r="C29" s="7" t="n">
        <v>1</v>
      </c>
      <c r="D29" s="2" t="n">
        <v>300000</v>
      </c>
      <c r="E29" s="9">
        <f>C29*D29</f>
        <v/>
      </c>
    </row>
    <row r="30">
      <c r="A30" t="inlineStr">
        <is>
          <t>F. Sistem</t>
        </is>
      </c>
      <c r="B30" t="inlineStr">
        <is>
          <t>Speaker bluetooth</t>
        </is>
      </c>
      <c r="C30" s="7" t="n">
        <v>1</v>
      </c>
      <c r="D30" s="2" t="n">
        <v>300000</v>
      </c>
      <c r="E30" s="9">
        <f>C30*D30</f>
        <v/>
      </c>
    </row>
    <row r="31">
      <c r="A31" t="inlineStr">
        <is>
          <t>F. Sistem</t>
        </is>
      </c>
      <c r="B31" t="inlineStr">
        <is>
          <t>APAR 3 kg</t>
        </is>
      </c>
      <c r="C31" s="7" t="n">
        <v>1</v>
      </c>
      <c r="D31" s="2" t="n">
        <v>350000</v>
      </c>
      <c r="E31" s="9">
        <f>C31*D31</f>
        <v/>
      </c>
    </row>
    <row r="32">
      <c r="A32" t="inlineStr">
        <is>
          <t>G. Branding</t>
        </is>
      </c>
      <c r="B32" t="inlineStr">
        <is>
          <t>Logo (Canva / freelancer murah)</t>
        </is>
      </c>
      <c r="C32" s="7" t="n">
        <v>1</v>
      </c>
      <c r="D32" s="2" t="n">
        <v>300000</v>
      </c>
      <c r="E32" s="9">
        <f>C32*D32</f>
        <v/>
      </c>
    </row>
    <row r="33">
      <c r="A33" t="inlineStr">
        <is>
          <t>G. Branding</t>
        </is>
      </c>
      <c r="B33" t="inlineStr">
        <is>
          <t>Papan nama / spanduk besar</t>
        </is>
      </c>
      <c r="C33" s="7" t="n">
        <v>1</v>
      </c>
      <c r="D33" s="2" t="n">
        <v>1000000</v>
      </c>
      <c r="E33" s="9">
        <f>C33*D33</f>
        <v/>
      </c>
    </row>
    <row r="34">
      <c r="A34" t="inlineStr">
        <is>
          <t>G. Branding</t>
        </is>
      </c>
      <c r="B34" t="inlineStr">
        <is>
          <t>Neon flex tulisan (spot foto)</t>
        </is>
      </c>
      <c r="C34" s="7" t="n">
        <v>1</v>
      </c>
      <c r="D34" s="2" t="n">
        <v>500000</v>
      </c>
      <c r="E34" s="9">
        <f>C34*D34</f>
        <v/>
      </c>
    </row>
    <row r="35">
      <c r="A35" t="inlineStr">
        <is>
          <t>G. Branding</t>
        </is>
      </c>
      <c r="B35" t="inlineStr">
        <is>
          <t>Menu board berfoto</t>
        </is>
      </c>
      <c r="C35" s="7" t="n">
        <v>1</v>
      </c>
      <c r="D35" s="2" t="n">
        <v>300000</v>
      </c>
      <c r="E35" s="9">
        <f>C35*D35</f>
        <v/>
      </c>
    </row>
    <row r="36">
      <c r="A36" t="inlineStr">
        <is>
          <t>G. Branding</t>
        </is>
      </c>
      <c r="B36" t="inlineStr">
        <is>
          <t>Kaos seragam &amp; apron 4 set</t>
        </is>
      </c>
      <c r="C36" s="7" t="n">
        <v>1</v>
      </c>
      <c r="D36" s="2" t="n">
        <v>300000</v>
      </c>
      <c r="E36" s="9">
        <f>C36*D36</f>
        <v/>
      </c>
    </row>
    <row r="37">
      <c r="A37" t="inlineStr">
        <is>
          <t>G. Branding</t>
        </is>
      </c>
      <c r="B37" t="inlineStr">
        <is>
          <t>Stiker logo cup</t>
        </is>
      </c>
      <c r="C37" s="7" t="n">
        <v>1</v>
      </c>
      <c r="D37" s="2" t="n">
        <v>300000</v>
      </c>
      <c r="E37" s="9">
        <f>C37*D37</f>
        <v/>
      </c>
    </row>
    <row r="38">
      <c r="A38" t="inlineStr">
        <is>
          <t>H. Legal</t>
        </is>
      </c>
      <c r="B38" t="inlineStr">
        <is>
          <t>Surat lingkungan, domisili &amp; administrasi</t>
        </is>
      </c>
      <c r="C38" s="7" t="n">
        <v>1</v>
      </c>
      <c r="D38" s="2" t="n">
        <v>500000</v>
      </c>
      <c r="E38" s="9">
        <f>C38*D38</f>
        <v/>
      </c>
    </row>
    <row r="39">
      <c r="A39" t="inlineStr">
        <is>
          <t>I. Stok Awal</t>
        </is>
      </c>
      <c r="B39" t="inlineStr">
        <is>
          <t>Bahan baku, kemasan, sabun dll</t>
        </is>
      </c>
      <c r="C39" s="7" t="n">
        <v>1</v>
      </c>
      <c r="D39" s="2" t="n">
        <v>4000000</v>
      </c>
      <c r="E39" s="9">
        <f>C39*D39</f>
        <v/>
      </c>
    </row>
    <row r="40">
      <c r="A40" t="inlineStr">
        <is>
          <t>J. Marketing</t>
        </is>
      </c>
      <c r="B40" t="inlineStr">
        <is>
          <t>Pra-launch &amp; grand opening</t>
        </is>
      </c>
      <c r="C40" s="7" t="n">
        <v>1</v>
      </c>
      <c r="D40" s="2" t="n">
        <v>2000000</v>
      </c>
      <c r="E40" s="9">
        <f>C40*D40</f>
        <v/>
      </c>
    </row>
    <row r="41">
      <c r="A41" t="inlineStr">
        <is>
          <t>K. Cadangan</t>
        </is>
      </c>
      <c r="B41" t="inlineStr">
        <is>
          <t>Dana cadangan / modal kerja</t>
        </is>
      </c>
      <c r="C41" s="7" t="n">
        <v>1</v>
      </c>
      <c r="D41" s="2" t="n">
        <v>9200000</v>
      </c>
      <c r="E41" s="9">
        <f>C41*D41</f>
        <v/>
      </c>
    </row>
    <row r="42">
      <c r="B42" s="5" t="inlineStr">
        <is>
          <t>TOTAL INVESTASI AWAL</t>
        </is>
      </c>
      <c r="E42" s="6">
        <f>SUM(E2:E41)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4" customWidth="1" min="4" max="4"/>
    <col width="10" customWidth="1" min="5" max="5"/>
    <col width="18" customWidth="1" min="6" max="6"/>
  </cols>
  <sheetData>
    <row r="1">
      <c r="A1" s="8" t="inlineStr">
        <is>
          <t>Menu</t>
        </is>
      </c>
      <c r="B1" s="8" t="inlineStr">
        <is>
          <t>Kategori</t>
        </is>
      </c>
      <c r="C1" s="8" t="inlineStr">
        <is>
          <t>Biaya Bahan / Porsi</t>
        </is>
      </c>
      <c r="D1" s="8" t="inlineStr">
        <is>
          <t>Harga Jual</t>
        </is>
      </c>
      <c r="E1" s="8" t="inlineStr">
        <is>
          <t>HPP %</t>
        </is>
      </c>
      <c r="F1" s="8" t="inlineStr">
        <is>
          <t>Margin Kotor (Rp)</t>
        </is>
      </c>
    </row>
    <row r="2">
      <c r="A2" t="inlineStr">
        <is>
          <t>Kopi sachet panas (Kapal Api, ABC, Torabika, Good Day, Luwak)</t>
        </is>
      </c>
      <c r="B2" t="inlineStr">
        <is>
          <t>Minuman</t>
        </is>
      </c>
      <c r="C2" s="2" t="n">
        <v>1800</v>
      </c>
      <c r="D2" s="2" t="n">
        <v>4000</v>
      </c>
      <c r="E2" s="10">
        <f>C2/D2</f>
        <v/>
      </c>
      <c r="F2" s="9">
        <f>D2-C2</f>
        <v/>
      </c>
    </row>
    <row r="3">
      <c r="A3" t="inlineStr">
        <is>
          <t>Kopi sachet es</t>
        </is>
      </c>
      <c r="B3" t="inlineStr">
        <is>
          <t>Minuman</t>
        </is>
      </c>
      <c r="C3" s="2" t="n">
        <v>2300</v>
      </c>
      <c r="D3" s="2" t="n">
        <v>5000</v>
      </c>
      <c r="E3" s="10">
        <f>C3/D3</f>
        <v/>
      </c>
      <c r="F3" s="9">
        <f>D3-C3</f>
        <v/>
      </c>
    </row>
    <row r="4">
      <c r="A4" t="inlineStr">
        <is>
          <t>Kopi hitam tubruk</t>
        </is>
      </c>
      <c r="B4" t="inlineStr">
        <is>
          <t>Minuman</t>
        </is>
      </c>
      <c r="C4" s="2" t="n">
        <v>1200</v>
      </c>
      <c r="D4" s="2" t="n">
        <v>4000</v>
      </c>
      <c r="E4" s="10">
        <f>C4/D4</f>
        <v/>
      </c>
      <c r="F4" s="9">
        <f>D4-C4</f>
        <v/>
      </c>
    </row>
    <row r="5">
      <c r="A5" t="inlineStr">
        <is>
          <t>Teh manis panas</t>
        </is>
      </c>
      <c r="B5" t="inlineStr">
        <is>
          <t>Minuman</t>
        </is>
      </c>
      <c r="C5" s="2" t="n">
        <v>800</v>
      </c>
      <c r="D5" s="2" t="n">
        <v>3000</v>
      </c>
      <c r="E5" s="10">
        <f>C5/D5</f>
        <v/>
      </c>
      <c r="F5" s="9">
        <f>D5-C5</f>
        <v/>
      </c>
    </row>
    <row r="6">
      <c r="A6" t="inlineStr">
        <is>
          <t>Es teh manis jumbo</t>
        </is>
      </c>
      <c r="B6" t="inlineStr">
        <is>
          <t>Minuman</t>
        </is>
      </c>
      <c r="C6" s="2" t="n">
        <v>1500</v>
      </c>
      <c r="D6" s="2" t="n">
        <v>5000</v>
      </c>
      <c r="E6" s="10">
        <f>C6/D6</f>
        <v/>
      </c>
      <c r="F6" s="9">
        <f>D6-C6</f>
        <v/>
      </c>
    </row>
    <row r="7">
      <c r="A7" t="inlineStr">
        <is>
          <t>Susu jahe / jahe sachet</t>
        </is>
      </c>
      <c r="B7" t="inlineStr">
        <is>
          <t>Minuman</t>
        </is>
      </c>
      <c r="C7" s="2" t="n">
        <v>2000</v>
      </c>
      <c r="D7" s="2" t="n">
        <v>5000</v>
      </c>
      <c r="E7" s="10">
        <f>C7/D7</f>
        <v/>
      </c>
      <c r="F7" s="9">
        <f>D7-C7</f>
        <v/>
      </c>
    </row>
    <row r="8">
      <c r="A8" t="inlineStr">
        <is>
          <t>Susu putih / cokelat (SKM)</t>
        </is>
      </c>
      <c r="B8" t="inlineStr">
        <is>
          <t>Minuman</t>
        </is>
      </c>
      <c r="C8" s="2" t="n">
        <v>2000</v>
      </c>
      <c r="D8" s="2" t="n">
        <v>5000</v>
      </c>
      <c r="E8" s="10">
        <f>C8/D8</f>
        <v/>
      </c>
      <c r="F8" s="9">
        <f>D8-C8</f>
        <v/>
      </c>
    </row>
    <row r="9">
      <c r="A9" t="inlineStr">
        <is>
          <t>Extra Joss / Kuku Bima susu</t>
        </is>
      </c>
      <c r="B9" t="inlineStr">
        <is>
          <t>Minuman</t>
        </is>
      </c>
      <c r="C9" s="2" t="n">
        <v>3000</v>
      </c>
      <c r="D9" s="2" t="n">
        <v>6000</v>
      </c>
      <c r="E9" s="10">
        <f>C9/D9</f>
        <v/>
      </c>
      <c r="F9" s="9">
        <f>D9-C9</f>
        <v/>
      </c>
    </row>
    <row r="10">
      <c r="A10" t="inlineStr">
        <is>
          <t>Minuman sachet es (Nutrisari, Milo, Pop Ice)</t>
        </is>
      </c>
      <c r="B10" t="inlineStr">
        <is>
          <t>Minuman</t>
        </is>
      </c>
      <c r="C10" s="2" t="n">
        <v>2300</v>
      </c>
      <c r="D10" s="2" t="n">
        <v>5000</v>
      </c>
      <c r="E10" s="10">
        <f>C10/D10</f>
        <v/>
      </c>
      <c r="F10" s="9">
        <f>D10-C10</f>
        <v/>
      </c>
    </row>
    <row r="11">
      <c r="A11" t="inlineStr">
        <is>
          <t>Indomie rebus/goreng (semua varian)</t>
        </is>
      </c>
      <c r="B11" t="inlineStr">
        <is>
          <t>Makanan</t>
        </is>
      </c>
      <c r="C11" s="2" t="n">
        <v>4200</v>
      </c>
      <c r="D11" s="2" t="n">
        <v>8000</v>
      </c>
      <c r="E11" s="10">
        <f>C11/D11</f>
        <v/>
      </c>
      <c r="F11" s="9">
        <f>D11-C11</f>
        <v/>
      </c>
    </row>
    <row r="12">
      <c r="A12" t="inlineStr">
        <is>
          <t>Indomie telor</t>
        </is>
      </c>
      <c r="B12" t="inlineStr">
        <is>
          <t>Makanan</t>
        </is>
      </c>
      <c r="C12" s="2" t="n">
        <v>6500</v>
      </c>
      <c r="D12" s="2" t="n">
        <v>12000</v>
      </c>
      <c r="E12" s="10">
        <f>C12/D12</f>
        <v/>
      </c>
      <c r="F12" s="9">
        <f>D12-C12</f>
        <v/>
      </c>
    </row>
    <row r="13">
      <c r="A13" t="inlineStr">
        <is>
          <t>Indomie telor kornet</t>
        </is>
      </c>
      <c r="B13" t="inlineStr">
        <is>
          <t>Makanan</t>
        </is>
      </c>
      <c r="C13" s="2" t="n">
        <v>8000</v>
      </c>
      <c r="D13" s="2" t="n">
        <v>15000</v>
      </c>
      <c r="E13" s="10">
        <f>C13/D13</f>
        <v/>
      </c>
      <c r="F13" s="9">
        <f>D13-C13</f>
        <v/>
      </c>
    </row>
    <row r="14">
      <c r="A14" t="inlineStr">
        <is>
          <t>Indomie double telor</t>
        </is>
      </c>
      <c r="B14" t="inlineStr">
        <is>
          <t>Makanan</t>
        </is>
      </c>
      <c r="C14" s="2" t="n">
        <v>10200</v>
      </c>
      <c r="D14" s="2" t="n">
        <v>18000</v>
      </c>
      <c r="E14" s="10">
        <f>C14/D14</f>
        <v/>
      </c>
      <c r="F14" s="9">
        <f>D14-C14</f>
        <v/>
      </c>
    </row>
    <row r="15">
      <c r="A15" t="inlineStr">
        <is>
          <t>Indomie nyemek pedas</t>
        </is>
      </c>
      <c r="B15" t="inlineStr">
        <is>
          <t>Makanan</t>
        </is>
      </c>
      <c r="C15" s="2" t="n">
        <v>6800</v>
      </c>
      <c r="D15" s="2" t="n">
        <v>13000</v>
      </c>
      <c r="E15" s="10">
        <f>C15/D15</f>
        <v/>
      </c>
      <c r="F15" s="9">
        <f>D15-C15</f>
        <v/>
      </c>
    </row>
    <row r="16">
      <c r="A16" t="inlineStr">
        <is>
          <t>Burjo (bubur kacang ijo)</t>
        </is>
      </c>
      <c r="B16" t="inlineStr">
        <is>
          <t>Makanan</t>
        </is>
      </c>
      <c r="C16" s="2" t="n">
        <v>2500</v>
      </c>
      <c r="D16" s="2" t="n">
        <v>7000</v>
      </c>
      <c r="E16" s="10">
        <f>C16/D16</f>
        <v/>
      </c>
      <c r="F16" s="9">
        <f>D16-C16</f>
        <v/>
      </c>
    </row>
    <row r="17">
      <c r="A17" t="inlineStr">
        <is>
          <t>Burjo ketan hitam</t>
        </is>
      </c>
      <c r="B17" t="inlineStr">
        <is>
          <t>Makanan</t>
        </is>
      </c>
      <c r="C17" s="2" t="n">
        <v>3000</v>
      </c>
      <c r="D17" s="2" t="n">
        <v>8000</v>
      </c>
      <c r="E17" s="10">
        <f>C17/D17</f>
        <v/>
      </c>
      <c r="F17" s="9">
        <f>D17-C17</f>
        <v/>
      </c>
    </row>
    <row r="18">
      <c r="A18" t="inlineStr">
        <is>
          <t>Nasi telor + kerupuk</t>
        </is>
      </c>
      <c r="B18" t="inlineStr">
        <is>
          <t>Makanan</t>
        </is>
      </c>
      <c r="C18" s="2" t="n">
        <v>4500</v>
      </c>
      <c r="D18" s="2" t="n">
        <v>10000</v>
      </c>
      <c r="E18" s="10">
        <f>C18/D18</f>
        <v/>
      </c>
      <c r="F18" s="9">
        <f>D18-C18</f>
        <v/>
      </c>
    </row>
    <row r="19">
      <c r="A19" t="inlineStr">
        <is>
          <t>Nasi goreng telor</t>
        </is>
      </c>
      <c r="B19" t="inlineStr">
        <is>
          <t>Makanan</t>
        </is>
      </c>
      <c r="C19" s="2" t="n">
        <v>6000</v>
      </c>
      <c r="D19" s="2" t="n">
        <v>13000</v>
      </c>
      <c r="E19" s="10">
        <f>C19/D19</f>
        <v/>
      </c>
      <c r="F19" s="9">
        <f>D19-C19</f>
        <v/>
      </c>
    </row>
    <row r="20">
      <c r="A20" t="inlineStr">
        <is>
          <t>Magelangan (nasi goreng campur mie)</t>
        </is>
      </c>
      <c r="B20" t="inlineStr">
        <is>
          <t>Makanan</t>
        </is>
      </c>
      <c r="C20" s="2" t="n">
        <v>7000</v>
      </c>
      <c r="D20" s="2" t="n">
        <v>15000</v>
      </c>
      <c r="E20" s="10">
        <f>C20/D20</f>
        <v/>
      </c>
      <c r="F20" s="9">
        <f>D20-C20</f>
        <v/>
      </c>
    </row>
    <row r="21">
      <c r="A21" t="inlineStr">
        <is>
          <t>Roti bakar (cokelat/keju/srikaya)</t>
        </is>
      </c>
      <c r="B21" t="inlineStr">
        <is>
          <t>Makanan</t>
        </is>
      </c>
      <c r="C21" s="2" t="n">
        <v>5000</v>
      </c>
      <c r="D21" s="2" t="n">
        <v>12000</v>
      </c>
      <c r="E21" s="10">
        <f>C21/D21</f>
        <v/>
      </c>
      <c r="F21" s="9">
        <f>D21-C21</f>
        <v/>
      </c>
    </row>
    <row r="22">
      <c r="A22" t="inlineStr">
        <is>
          <t>Gorengan titip jual (per biji)</t>
        </is>
      </c>
      <c r="B22" t="inlineStr">
        <is>
          <t>Camilan</t>
        </is>
      </c>
      <c r="C22" s="2" t="n">
        <v>1400</v>
      </c>
      <c r="D22" s="2" t="n">
        <v>2000</v>
      </c>
      <c r="E22" s="10">
        <f>C22/D22</f>
        <v/>
      </c>
      <c r="F22" s="9">
        <f>D22-C22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8" t="inlineStr">
        <is>
          <t>Bulan</t>
        </is>
      </c>
      <c r="B1" s="8" t="inlineStr">
        <is>
          <t>Transaksi/Hari</t>
        </is>
      </c>
      <c r="C1" s="8" t="inlineStr">
        <is>
          <t>Omzet</t>
        </is>
      </c>
      <c r="D1" s="8" t="inlineStr">
        <is>
          <t>HPP</t>
        </is>
      </c>
      <c r="E1" s="8" t="inlineStr">
        <is>
          <t>Laba Kotor</t>
        </is>
      </c>
      <c r="F1" s="8" t="inlineStr">
        <is>
          <t>Biaya Tetap</t>
        </is>
      </c>
      <c r="G1" s="8" t="inlineStr">
        <is>
          <t>Pajak UMKM</t>
        </is>
      </c>
      <c r="H1" s="8" t="inlineStr">
        <is>
          <t>MDR QRIS</t>
        </is>
      </c>
      <c r="I1" s="8" t="inlineStr">
        <is>
          <t>Laba Bersih</t>
        </is>
      </c>
      <c r="J1" s="8" t="inlineStr">
        <is>
          <t>Arus Kas Operasi*</t>
        </is>
      </c>
      <c r="K1" s="8" t="inlineStr">
        <is>
          <t>Kas Kumulatif vs Modal</t>
        </is>
      </c>
    </row>
    <row r="2">
      <c r="A2" t="n">
        <v>1</v>
      </c>
      <c r="B2">
        <f>Asumsi!B26</f>
        <v/>
      </c>
      <c r="C2" s="9">
        <f>B2*Asumsi!$B$3*Asumsi!$B$5</f>
        <v/>
      </c>
      <c r="D2" s="9">
        <f>C2*Asumsi!$B$4</f>
        <v/>
      </c>
      <c r="E2" s="9">
        <f>C2-D2</f>
        <v/>
      </c>
      <c r="F2" s="9">
        <f>Asumsi!$B$23</f>
        <v/>
      </c>
      <c r="G2" s="9">
        <f>C2*Asumsi!$B$6</f>
        <v/>
      </c>
      <c r="H2" s="9">
        <f>C2*Asumsi!$B$7*Asumsi!$B$8</f>
        <v/>
      </c>
      <c r="I2" s="9">
        <f>E2-F2-G2-H2</f>
        <v/>
      </c>
      <c r="J2" s="9">
        <f>I2+Asumsi!$B$22+IF(A2&lt;=Asumsi!$D$25,Asumsi!$B$12,0)</f>
        <v/>
      </c>
      <c r="K2" s="9">
        <f>-Modal!$E$42+J2</f>
        <v/>
      </c>
    </row>
    <row r="3">
      <c r="A3" t="n">
        <v>2</v>
      </c>
      <c r="B3">
        <f>Asumsi!B27</f>
        <v/>
      </c>
      <c r="C3" s="9">
        <f>B3*Asumsi!$B$3*Asumsi!$B$5</f>
        <v/>
      </c>
      <c r="D3" s="9">
        <f>C3*Asumsi!$B$4</f>
        <v/>
      </c>
      <c r="E3" s="9">
        <f>C3-D3</f>
        <v/>
      </c>
      <c r="F3" s="9">
        <f>Asumsi!$B$23</f>
        <v/>
      </c>
      <c r="G3" s="9">
        <f>C3*Asumsi!$B$6</f>
        <v/>
      </c>
      <c r="H3" s="9">
        <f>C3*Asumsi!$B$7*Asumsi!$B$8</f>
        <v/>
      </c>
      <c r="I3" s="9">
        <f>E3-F3-G3-H3</f>
        <v/>
      </c>
      <c r="J3" s="9">
        <f>I3+Asumsi!$B$22+IF(A3&lt;=Asumsi!$D$25,Asumsi!$B$12,0)</f>
        <v/>
      </c>
      <c r="K3" s="9">
        <f>K2+J3</f>
        <v/>
      </c>
    </row>
    <row r="4">
      <c r="A4" t="n">
        <v>3</v>
      </c>
      <c r="B4">
        <f>Asumsi!B28</f>
        <v/>
      </c>
      <c r="C4" s="9">
        <f>B4*Asumsi!$B$3*Asumsi!$B$5</f>
        <v/>
      </c>
      <c r="D4" s="9">
        <f>C4*Asumsi!$B$4</f>
        <v/>
      </c>
      <c r="E4" s="9">
        <f>C4-D4</f>
        <v/>
      </c>
      <c r="F4" s="9">
        <f>Asumsi!$B$23</f>
        <v/>
      </c>
      <c r="G4" s="9">
        <f>C4*Asumsi!$B$6</f>
        <v/>
      </c>
      <c r="H4" s="9">
        <f>C4*Asumsi!$B$7*Asumsi!$B$8</f>
        <v/>
      </c>
      <c r="I4" s="9">
        <f>E4-F4-G4-H4</f>
        <v/>
      </c>
      <c r="J4" s="9">
        <f>I4+Asumsi!$B$22+IF(A4&lt;=Asumsi!$D$25,Asumsi!$B$12,0)</f>
        <v/>
      </c>
      <c r="K4" s="9">
        <f>K3+J4</f>
        <v/>
      </c>
    </row>
    <row r="5">
      <c r="A5" t="n">
        <v>4</v>
      </c>
      <c r="B5">
        <f>Asumsi!B29</f>
        <v/>
      </c>
      <c r="C5" s="9">
        <f>B5*Asumsi!$B$3*Asumsi!$B$5</f>
        <v/>
      </c>
      <c r="D5" s="9">
        <f>C5*Asumsi!$B$4</f>
        <v/>
      </c>
      <c r="E5" s="9">
        <f>C5-D5</f>
        <v/>
      </c>
      <c r="F5" s="9">
        <f>Asumsi!$B$23</f>
        <v/>
      </c>
      <c r="G5" s="9">
        <f>C5*Asumsi!$B$6</f>
        <v/>
      </c>
      <c r="H5" s="9">
        <f>C5*Asumsi!$B$7*Asumsi!$B$8</f>
        <v/>
      </c>
      <c r="I5" s="9">
        <f>E5-F5-G5-H5</f>
        <v/>
      </c>
      <c r="J5" s="9">
        <f>I5+Asumsi!$B$22+IF(A5&lt;=Asumsi!$D$25,Asumsi!$B$12,0)</f>
        <v/>
      </c>
      <c r="K5" s="9">
        <f>K4+J5</f>
        <v/>
      </c>
    </row>
    <row r="6">
      <c r="A6" t="n">
        <v>5</v>
      </c>
      <c r="B6">
        <f>Asumsi!B30</f>
        <v/>
      </c>
      <c r="C6" s="9">
        <f>B6*Asumsi!$B$3*Asumsi!$B$5</f>
        <v/>
      </c>
      <c r="D6" s="9">
        <f>C6*Asumsi!$B$4</f>
        <v/>
      </c>
      <c r="E6" s="9">
        <f>C6-D6</f>
        <v/>
      </c>
      <c r="F6" s="9">
        <f>Asumsi!$B$23</f>
        <v/>
      </c>
      <c r="G6" s="9">
        <f>C6*Asumsi!$B$6</f>
        <v/>
      </c>
      <c r="H6" s="9">
        <f>C6*Asumsi!$B$7*Asumsi!$B$8</f>
        <v/>
      </c>
      <c r="I6" s="9">
        <f>E6-F6-G6-H6</f>
        <v/>
      </c>
      <c r="J6" s="9">
        <f>I6+Asumsi!$B$22+IF(A6&lt;=Asumsi!$D$25,Asumsi!$B$12,0)</f>
        <v/>
      </c>
      <c r="K6" s="9">
        <f>K5+J6</f>
        <v/>
      </c>
    </row>
    <row r="7">
      <c r="A7" t="n">
        <v>6</v>
      </c>
      <c r="B7">
        <f>Asumsi!B31</f>
        <v/>
      </c>
      <c r="C7" s="9">
        <f>B7*Asumsi!$B$3*Asumsi!$B$5</f>
        <v/>
      </c>
      <c r="D7" s="9">
        <f>C7*Asumsi!$B$4</f>
        <v/>
      </c>
      <c r="E7" s="9">
        <f>C7-D7</f>
        <v/>
      </c>
      <c r="F7" s="9">
        <f>Asumsi!$B$23</f>
        <v/>
      </c>
      <c r="G7" s="9">
        <f>C7*Asumsi!$B$6</f>
        <v/>
      </c>
      <c r="H7" s="9">
        <f>C7*Asumsi!$B$7*Asumsi!$B$8</f>
        <v/>
      </c>
      <c r="I7" s="9">
        <f>E7-F7-G7-H7</f>
        <v/>
      </c>
      <c r="J7" s="9">
        <f>I7+Asumsi!$B$22+IF(A7&lt;=Asumsi!$D$25,Asumsi!$B$12,0)</f>
        <v/>
      </c>
      <c r="K7" s="9">
        <f>K6+J7</f>
        <v/>
      </c>
    </row>
    <row r="8">
      <c r="A8" t="n">
        <v>7</v>
      </c>
      <c r="B8">
        <f>Asumsi!B32</f>
        <v/>
      </c>
      <c r="C8" s="9">
        <f>B8*Asumsi!$B$3*Asumsi!$B$5</f>
        <v/>
      </c>
      <c r="D8" s="9">
        <f>C8*Asumsi!$B$4</f>
        <v/>
      </c>
      <c r="E8" s="9">
        <f>C8-D8</f>
        <v/>
      </c>
      <c r="F8" s="9">
        <f>Asumsi!$B$23</f>
        <v/>
      </c>
      <c r="G8" s="9">
        <f>C8*Asumsi!$B$6</f>
        <v/>
      </c>
      <c r="H8" s="9">
        <f>C8*Asumsi!$B$7*Asumsi!$B$8</f>
        <v/>
      </c>
      <c r="I8" s="9">
        <f>E8-F8-G8-H8</f>
        <v/>
      </c>
      <c r="J8" s="9">
        <f>I8+Asumsi!$B$22+IF(A8&lt;=Asumsi!$D$25,Asumsi!$B$12,0)</f>
        <v/>
      </c>
      <c r="K8" s="9">
        <f>K7+J8</f>
        <v/>
      </c>
    </row>
    <row r="9">
      <c r="A9" t="n">
        <v>8</v>
      </c>
      <c r="B9">
        <f>Asumsi!B33</f>
        <v/>
      </c>
      <c r="C9" s="9">
        <f>B9*Asumsi!$B$3*Asumsi!$B$5</f>
        <v/>
      </c>
      <c r="D9" s="9">
        <f>C9*Asumsi!$B$4</f>
        <v/>
      </c>
      <c r="E9" s="9">
        <f>C9-D9</f>
        <v/>
      </c>
      <c r="F9" s="9">
        <f>Asumsi!$B$23</f>
        <v/>
      </c>
      <c r="G9" s="9">
        <f>C9*Asumsi!$B$6</f>
        <v/>
      </c>
      <c r="H9" s="9">
        <f>C9*Asumsi!$B$7*Asumsi!$B$8</f>
        <v/>
      </c>
      <c r="I9" s="9">
        <f>E9-F9-G9-H9</f>
        <v/>
      </c>
      <c r="J9" s="9">
        <f>I9+Asumsi!$B$22+IF(A9&lt;=Asumsi!$D$25,Asumsi!$B$12,0)</f>
        <v/>
      </c>
      <c r="K9" s="9">
        <f>K8+J9</f>
        <v/>
      </c>
    </row>
    <row r="10">
      <c r="A10" t="n">
        <v>9</v>
      </c>
      <c r="B10">
        <f>Asumsi!B34</f>
        <v/>
      </c>
      <c r="C10" s="9">
        <f>B10*Asumsi!$B$3*Asumsi!$B$5</f>
        <v/>
      </c>
      <c r="D10" s="9">
        <f>C10*Asumsi!$B$4</f>
        <v/>
      </c>
      <c r="E10" s="9">
        <f>C10-D10</f>
        <v/>
      </c>
      <c r="F10" s="9">
        <f>Asumsi!$B$23</f>
        <v/>
      </c>
      <c r="G10" s="9">
        <f>C10*Asumsi!$B$6</f>
        <v/>
      </c>
      <c r="H10" s="9">
        <f>C10*Asumsi!$B$7*Asumsi!$B$8</f>
        <v/>
      </c>
      <c r="I10" s="9">
        <f>E10-F10-G10-H10</f>
        <v/>
      </c>
      <c r="J10" s="9">
        <f>I10+Asumsi!$B$22+IF(A10&lt;=Asumsi!$D$25,Asumsi!$B$12,0)</f>
        <v/>
      </c>
      <c r="K10" s="9">
        <f>K9+J10</f>
        <v/>
      </c>
    </row>
    <row r="11">
      <c r="A11" t="n">
        <v>10</v>
      </c>
      <c r="B11">
        <f>Asumsi!B35</f>
        <v/>
      </c>
      <c r="C11" s="9">
        <f>B11*Asumsi!$B$3*Asumsi!$B$5</f>
        <v/>
      </c>
      <c r="D11" s="9">
        <f>C11*Asumsi!$B$4</f>
        <v/>
      </c>
      <c r="E11" s="9">
        <f>C11-D11</f>
        <v/>
      </c>
      <c r="F11" s="9">
        <f>Asumsi!$B$23</f>
        <v/>
      </c>
      <c r="G11" s="9">
        <f>C11*Asumsi!$B$6</f>
        <v/>
      </c>
      <c r="H11" s="9">
        <f>C11*Asumsi!$B$7*Asumsi!$B$8</f>
        <v/>
      </c>
      <c r="I11" s="9">
        <f>E11-F11-G11-H11</f>
        <v/>
      </c>
      <c r="J11" s="9">
        <f>I11+Asumsi!$B$22+IF(A11&lt;=Asumsi!$D$25,Asumsi!$B$12,0)</f>
        <v/>
      </c>
      <c r="K11" s="9">
        <f>K10+J11</f>
        <v/>
      </c>
    </row>
    <row r="12">
      <c r="A12" t="n">
        <v>11</v>
      </c>
      <c r="B12">
        <f>Asumsi!B36</f>
        <v/>
      </c>
      <c r="C12" s="9">
        <f>B12*Asumsi!$B$3*Asumsi!$B$5</f>
        <v/>
      </c>
      <c r="D12" s="9">
        <f>C12*Asumsi!$B$4</f>
        <v/>
      </c>
      <c r="E12" s="9">
        <f>C12-D12</f>
        <v/>
      </c>
      <c r="F12" s="9">
        <f>Asumsi!$B$23</f>
        <v/>
      </c>
      <c r="G12" s="9">
        <f>C12*Asumsi!$B$6</f>
        <v/>
      </c>
      <c r="H12" s="9">
        <f>C12*Asumsi!$B$7*Asumsi!$B$8</f>
        <v/>
      </c>
      <c r="I12" s="9">
        <f>E12-F12-G12-H12</f>
        <v/>
      </c>
      <c r="J12" s="9">
        <f>I12+Asumsi!$B$22+IF(A12&lt;=Asumsi!$D$25,Asumsi!$B$12,0)</f>
        <v/>
      </c>
      <c r="K12" s="9">
        <f>K11+J12</f>
        <v/>
      </c>
    </row>
    <row r="13">
      <c r="A13" t="n">
        <v>12</v>
      </c>
      <c r="B13">
        <f>Asumsi!B37</f>
        <v/>
      </c>
      <c r="C13" s="9">
        <f>B13*Asumsi!$B$3*Asumsi!$B$5</f>
        <v/>
      </c>
      <c r="D13" s="9">
        <f>C13*Asumsi!$B$4</f>
        <v/>
      </c>
      <c r="E13" s="9">
        <f>C13-D13</f>
        <v/>
      </c>
      <c r="F13" s="9">
        <f>Asumsi!$B$23</f>
        <v/>
      </c>
      <c r="G13" s="9">
        <f>C13*Asumsi!$B$6</f>
        <v/>
      </c>
      <c r="H13" s="9">
        <f>C13*Asumsi!$B$7*Asumsi!$B$8</f>
        <v/>
      </c>
      <c r="I13" s="9">
        <f>E13-F13-G13-H13</f>
        <v/>
      </c>
      <c r="J13" s="9">
        <f>I13+Asumsi!$B$22+IF(A13&lt;=Asumsi!$D$25,Asumsi!$B$12,0)</f>
        <v/>
      </c>
      <c r="K13" s="9">
        <f>K12+J13</f>
        <v/>
      </c>
    </row>
    <row r="14">
      <c r="A14" s="5" t="inlineStr">
        <is>
          <t>TOTAL</t>
        </is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6">
        <f>SUM(H2:H13)</f>
        <v/>
      </c>
      <c r="I14" s="6">
        <f>SUM(I2:I13)</f>
        <v/>
      </c>
      <c r="J14" s="6">
        <f>SUM(J2:J13)</f>
        <v/>
      </c>
    </row>
    <row r="16">
      <c r="A16" t="inlineStr">
        <is>
          <t>* Arus kas = laba bersih + penyusutan (+ sewa pada bulan yang sudah dibayar di muka dalam modal). Sisihkan Rp1,2jt/bulan sejak bulan 1 untuk membayar sewa periode berikutnya.</t>
        </is>
      </c>
    </row>
    <row r="17">
      <c r="A17" t="inlineStr">
        <is>
          <t>Balik modal = bulan pertama kolom 'Kas Kumulatif vs Modal' bernilai positif.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Indikator</t>
        </is>
      </c>
      <c r="B1" s="8" t="inlineStr">
        <is>
          <t>Pesimis</t>
        </is>
      </c>
      <c r="C1" s="8" t="inlineStr">
        <is>
          <t>Moderat</t>
        </is>
      </c>
      <c r="D1" s="8" t="inlineStr">
        <is>
          <t>Optimis</t>
        </is>
      </c>
    </row>
    <row r="2">
      <c r="A2" t="inlineStr">
        <is>
          <t>Transaksi per hari</t>
        </is>
      </c>
      <c r="B2" s="7" t="n">
        <v>55</v>
      </c>
      <c r="C2" s="7" t="n">
        <v>80</v>
      </c>
      <c r="D2" s="7" t="n">
        <v>110</v>
      </c>
    </row>
    <row r="3">
      <c r="A3" t="inlineStr">
        <is>
          <t>Rata-rata transaksi</t>
        </is>
      </c>
      <c r="B3" s="2" t="n">
        <v>14000</v>
      </c>
      <c r="C3" s="2" t="n">
        <v>15000</v>
      </c>
      <c r="D3" s="2" t="n">
        <v>16000</v>
      </c>
    </row>
    <row r="4">
      <c r="A4" t="inlineStr">
        <is>
          <t>Omzet / bulan</t>
        </is>
      </c>
      <c r="B4" s="9">
        <f>B2*B3*Asumsi!$B$5</f>
        <v/>
      </c>
      <c r="C4" s="9">
        <f>C2*C3*Asumsi!$B$5</f>
        <v/>
      </c>
      <c r="D4" s="9">
        <f>D2*D3*Asumsi!$B$5</f>
        <v/>
      </c>
    </row>
    <row r="5">
      <c r="A5" t="inlineStr">
        <is>
          <t>HPP</t>
        </is>
      </c>
      <c r="B5" s="9">
        <f>B4*Asumsi!$B$4</f>
        <v/>
      </c>
      <c r="C5" s="9">
        <f>C4*Asumsi!$B$4</f>
        <v/>
      </c>
      <c r="D5" s="9">
        <f>D4*Asumsi!$B$4</f>
        <v/>
      </c>
    </row>
    <row r="6">
      <c r="A6" t="inlineStr">
        <is>
          <t>Laba kotor</t>
        </is>
      </c>
      <c r="B6" s="9">
        <f>B4-B5</f>
        <v/>
      </c>
      <c r="C6" s="9">
        <f>C4-C5</f>
        <v/>
      </c>
      <c r="D6" s="9">
        <f>D4-D5</f>
        <v/>
      </c>
    </row>
    <row r="7">
      <c r="A7" t="inlineStr">
        <is>
          <t>Biaya tetap</t>
        </is>
      </c>
      <c r="B7" s="9">
        <f>Asumsi!$B$23</f>
        <v/>
      </c>
      <c r="C7" s="9">
        <f>Asumsi!$B$23</f>
        <v/>
      </c>
      <c r="D7" s="9">
        <f>Asumsi!$B$23</f>
        <v/>
      </c>
    </row>
    <row r="8">
      <c r="A8" t="inlineStr">
        <is>
          <t>Pajak + MDR</t>
        </is>
      </c>
      <c r="B8" s="9">
        <f>B4*(Asumsi!$B$6+Asumsi!$B$7*Asumsi!$B$8)</f>
        <v/>
      </c>
      <c r="C8" s="9">
        <f>C4*(Asumsi!$B$6+Asumsi!$B$7*Asumsi!$B$8)</f>
        <v/>
      </c>
      <c r="D8" s="9">
        <f>D4*(Asumsi!$B$6+Asumsi!$B$7*Asumsi!$B$8)</f>
        <v/>
      </c>
    </row>
    <row r="9">
      <c r="A9" t="inlineStr">
        <is>
          <t>Laba bersih / bulan</t>
        </is>
      </c>
      <c r="B9" s="9">
        <f>B6-B7-B8</f>
        <v/>
      </c>
      <c r="C9" s="9">
        <f>C6-C7-C8</f>
        <v/>
      </c>
      <c r="D9" s="9">
        <f>D6-D7-D8</f>
        <v/>
      </c>
    </row>
    <row r="10">
      <c r="A10" t="inlineStr">
        <is>
          <t>Net margin</t>
        </is>
      </c>
      <c r="B10" s="10">
        <f>B9/B4</f>
        <v/>
      </c>
      <c r="C10" s="10">
        <f>C9/C4</f>
        <v/>
      </c>
      <c r="D10" s="10">
        <f>D9/D4</f>
        <v/>
      </c>
    </row>
    <row r="11">
      <c r="A11" t="inlineStr">
        <is>
          <t>Arus kas operasi / bulan</t>
        </is>
      </c>
      <c r="B11" s="9">
        <f>B9+Asumsi!$B$22</f>
        <v/>
      </c>
      <c r="C11" s="9">
        <f>C9+Asumsi!$B$22</f>
        <v/>
      </c>
      <c r="D11" s="9">
        <f>D9+Asumsi!$B$22</f>
        <v/>
      </c>
    </row>
    <row r="12">
      <c r="A12" t="inlineStr">
        <is>
          <t>Payback kondisi stabil (bulan)</t>
        </is>
      </c>
      <c r="B12" s="11">
        <f>Modal!$E$42/B11</f>
        <v/>
      </c>
      <c r="C12" s="11">
        <f>Modal!$E$42/C11</f>
        <v/>
      </c>
      <c r="D12" s="11">
        <f>Modal!$E$42/D11</f>
        <v/>
      </c>
    </row>
    <row r="15">
      <c r="A15" s="5" t="inlineStr">
        <is>
          <t>TITIK IMPAS (BEP)</t>
        </is>
      </c>
    </row>
    <row r="16">
      <c r="A16" t="inlineStr">
        <is>
          <t>Omzet BEP / bulan</t>
        </is>
      </c>
      <c r="B16" s="9">
        <f>Asumsi!$B$23/(1-Asumsi!$B$4-Asumsi!$B$6-Asumsi!$B$7*Asumsi!$B$8)</f>
        <v/>
      </c>
    </row>
    <row r="17">
      <c r="A17" t="inlineStr">
        <is>
          <t>Omzet BEP / hari</t>
        </is>
      </c>
      <c r="B17" s="9">
        <f>B16/Asumsi!$B$5</f>
        <v/>
      </c>
    </row>
    <row r="18">
      <c r="A18" t="inlineStr">
        <is>
          <t>Transaksi BEP / hari</t>
        </is>
      </c>
      <c r="B18" s="12">
        <f>B17/Asumsi!$B$3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2026-10-24T04:13:41Z</dcterms:created>
  <dcterms:modified xmlns:dcterms="http://purl.org/dc/terms/" xmlns:xsi="http://www.w3.org/2001/XMLSchema-instance" xsi:type="dcterms:W3CDTF">2026-10-24T04:13:41Z</dcterms:modified>
</cp:coreProperties>
</file>