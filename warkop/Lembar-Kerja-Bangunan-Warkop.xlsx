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Volume" sheetId="3" state="visible" r:id="rId3"/>
    <sheet xmlns:r="http://schemas.openxmlformats.org/officeDocument/2006/relationships" name="RAB" sheetId="4" state="visible" r:id="rId4"/>
    <sheet xmlns:r="http://schemas.openxmlformats.org/officeDocument/2006/relationships" name="Material" sheetId="5" state="visible" r:id="rId5"/>
    <sheet xmlns:r="http://schemas.openxmlformats.org/officeDocument/2006/relationships" name="Jadwal" sheetId="6" state="visible" r:id="rId6"/>
    <sheet xmlns:r="http://schemas.openxmlformats.org/officeDocument/2006/relationships" name="Checklist QC" sheetId="7" state="visible" r:id="rId7"/>
    <sheet xmlns:r="http://schemas.openxmlformats.org/officeDocument/2006/relationships" name="Denah Tapa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#"/>
    <numFmt numFmtId="165" formatCode="&quot;Rp&quot; #,##0;[Red]-&quot;Rp&quot; #,##0"/>
    <numFmt numFmtId="166" formatCode="#,##0.0"/>
    <numFmt numFmtId="167" formatCode="0.0%"/>
    <numFmt numFmtId="168" formatCode="0.0%;-0.0%;&quot;&quot;"/>
  </numFmts>
  <fonts count="12">
    <font>
      <name val="Calibri"/>
      <family val="2"/>
      <color theme="1"/>
      <sz val="11"/>
      <scheme val="minor"/>
    </font>
    <font>
      <b val="1"/>
      <color rgb="005B3A29"/>
      <sz val="14"/>
    </font>
    <font>
      <i val="1"/>
      <color rgb="007A6A5E"/>
      <sz val="9"/>
    </font>
    <font>
      <b val="1"/>
      <color rgb="00FFFFFF"/>
    </font>
    <font>
      <b val="1"/>
    </font>
    <font>
      <b val="1"/>
      <sz val="12"/>
    </font>
    <font>
      <b val="1"/>
      <color rgb="002A1D15"/>
      <sz val="8"/>
    </font>
    <font>
      <b val="1"/>
      <color rgb="00FFFFFF"/>
      <sz val="8"/>
    </font>
    <font>
      <b val="1"/>
      <color rgb="00FFFFFF"/>
      <sz val="9"/>
    </font>
    <font>
      <sz val="10"/>
    </font>
    <font>
      <b val="1"/>
      <color rgb="005B3A29"/>
      <sz val="16"/>
    </font>
    <font>
      <b val="1"/>
      <color rgb="00B03A2E"/>
    </font>
  </fonts>
  <fills count="16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3E9DC"/>
      </patternFill>
    </fill>
    <fill>
      <patternFill patternType="solid">
        <fgColor rgb="00FFF2CC"/>
      </patternFill>
    </fill>
    <fill>
      <patternFill patternType="solid">
        <fgColor rgb="00F2B705"/>
      </patternFill>
    </fill>
    <fill>
      <patternFill patternType="solid">
        <fgColor rgb="00E8F0DF"/>
      </patternFill>
    </fill>
    <fill>
      <patternFill patternType="solid">
        <fgColor rgb="00C9C2B8"/>
      </patternFill>
    </fill>
    <fill>
      <patternFill patternType="solid">
        <fgColor rgb="00F7E3B0"/>
      </patternFill>
    </fill>
    <fill>
      <patternFill patternType="solid">
        <fgColor rgb="00E2D3BF"/>
      </patternFill>
    </fill>
    <fill>
      <patternFill patternType="solid">
        <fgColor rgb="00BFD9E0"/>
      </patternFill>
    </fill>
    <fill>
      <patternFill patternType="solid">
        <fgColor rgb="00D8CDBF"/>
      </patternFill>
    </fill>
    <fill>
      <patternFill patternType="solid">
        <fgColor rgb="00DCEACB"/>
      </patternFill>
    </fill>
    <fill>
      <patternFill patternType="solid">
        <fgColor rgb="009FB7C9"/>
      </patternFill>
    </fill>
    <fill>
      <patternFill patternType="solid">
        <fgColor rgb="008FB3D9"/>
      </patternFill>
    </fill>
    <fill>
      <patternFill patternType="solid">
        <fgColor rgb="003A3A3C"/>
      </patternFill>
    </fill>
  </fills>
  <borders count="2">
    <border>
      <left/>
      <right/>
      <top/>
      <bottom/>
      <diagonal/>
    </border>
    <border>
      <left style="thin">
        <color rgb="00D9CFC2"/>
      </left>
      <right style="thin">
        <color rgb="00D9CFC2"/>
      </right>
      <top style="thin">
        <color rgb="00D9CFC2"/>
      </top>
      <bottom style="thin">
        <color rgb="00D9CFC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4" fillId="0" borderId="0" pivotButton="0" quotePrefix="0" xfId="0"/>
    <xf numFmtId="165" fontId="4" fillId="5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11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3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4" fontId="0" fillId="0" borderId="1" pivotButton="0" quotePrefix="0" xfId="0"/>
    <xf numFmtId="9" fontId="0" fillId="0" borderId="1" pivotButton="0" quotePrefix="0" xfId="0"/>
    <xf numFmtId="165" fontId="0" fillId="4" borderId="1" pivotButton="0" quotePrefix="0" xfId="0"/>
    <xf numFmtId="4" fontId="0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167" fontId="0" fillId="0" borderId="0" pivotButton="0" quotePrefix="0" xfId="0"/>
    <xf numFmtId="168" fontId="0" fillId="0" borderId="1" pivotButton="0" quotePrefix="0" xfId="0"/>
    <xf numFmtId="9" fontId="0" fillId="0" borderId="0" pivotButton="0" quotePrefix="0" xfId="0"/>
    <xf numFmtId="9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2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10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2B70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Kurva S rencana vs aktual</a:t>
            </a:r>
          </a:p>
        </rich>
      </tx>
    </title>
    <plotArea>
      <lineChart>
        <grouping val="standard"/>
        <ser>
          <idx val="0"/>
          <order val="0"/>
          <tx>
            <v>Rencana</v>
          </tx>
          <spPr>
            <a:ln xmlns:a="http://schemas.openxmlformats.org/drawingml/2006/main">
              <a:solidFill>
                <a:srgbClr val="5B3A2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'Jadwal'!$F$4:$O$4</f>
            </numRef>
          </cat>
          <val>
            <numRef>
              <f>'Jadwal'!$F$17:$O$17</f>
            </numRef>
          </val>
        </ser>
        <ser>
          <idx val="1"/>
          <order val="1"/>
          <tx>
            <v>Aktual</v>
          </tx>
          <spPr>
            <a:ln xmlns:a="http://schemas.openxmlformats.org/drawingml/2006/main">
              <a:solidFill>
                <a:srgbClr val="D19A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'Jadwal'!$F$4:$O$4</f>
            </numRef>
          </cat>
          <val>
            <numRef>
              <f>'Jadwal'!$F$18:$O$18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LEMBAR KERJA BANGUNAN WARKOP</t>
        </is>
      </c>
    </row>
    <row r="2">
      <c r="A2" s="2" t="inlineStr">
        <is>
          <t>Tanah 400 m² · struktur kolom baja + rangka atap baja ringan · dinding partisi GRC</t>
        </is>
      </c>
    </row>
    <row r="4">
      <c r="A4" s="3" t="inlineStr">
        <is>
          <t>Ringkasan</t>
        </is>
      </c>
      <c r="B4" s="3" t="inlineStr">
        <is>
          <t>Paket A · Lengkap</t>
        </is>
      </c>
      <c r="C4" s="3" t="inlineStr">
        <is>
          <t>Paket B · Hemat</t>
        </is>
      </c>
      <c r="D4" s="3" t="inlineStr">
        <is>
          <t>Paket C · Mulai Kecil</t>
        </is>
      </c>
    </row>
    <row r="5">
      <c r="A5" t="inlineStr">
        <is>
          <t>Luas bangunan tertutup (m²)</t>
        </is>
      </c>
      <c r="B5" s="4">
        <f>Volume!C6</f>
        <v/>
      </c>
      <c r="C5" s="4">
        <f>Volume!D6</f>
        <v/>
      </c>
      <c r="D5" s="4">
        <f>Volume!E6</f>
        <v/>
      </c>
    </row>
    <row r="6">
      <c r="A6" t="inlineStr">
        <is>
          <t>Luas teras beratap (m²)</t>
        </is>
      </c>
      <c r="B6" s="4">
        <f>Volume!C7</f>
        <v/>
      </c>
      <c r="C6" s="4">
        <f>Volume!D7</f>
        <v/>
      </c>
      <c r="D6" s="4">
        <f>Volume!E7</f>
        <v/>
      </c>
    </row>
    <row r="7">
      <c r="A7" t="inlineStr">
        <is>
          <t>Luas lantai beratap total (m²)</t>
        </is>
      </c>
      <c r="B7" s="4">
        <f>Volume!C8</f>
        <v/>
      </c>
      <c r="C7" s="4">
        <f>Volume!D8</f>
        <v/>
      </c>
      <c r="D7" s="4">
        <f>Volume!E8</f>
        <v/>
      </c>
    </row>
    <row r="8">
      <c r="A8" t="inlineStr">
        <is>
          <t>Luas atap miring (m²)</t>
        </is>
      </c>
      <c r="B8" s="4">
        <f>Volume!C14</f>
        <v/>
      </c>
      <c r="C8" s="4">
        <f>Volume!D14</f>
        <v/>
      </c>
      <c r="D8" s="4">
        <f>Volume!E14</f>
        <v/>
      </c>
    </row>
    <row r="9">
      <c r="A9" t="inlineStr">
        <is>
          <t>Jumlah kolom baja</t>
        </is>
      </c>
      <c r="B9" s="4">
        <f>Volume!C17</f>
        <v/>
      </c>
      <c r="C9" s="4">
        <f>Volume!D17</f>
        <v/>
      </c>
      <c r="D9" s="4">
        <f>Volume!E17</f>
        <v/>
      </c>
    </row>
    <row r="10">
      <c r="A10" s="5" t="inlineStr">
        <is>
          <t>TOTAL BIAYA BANGUNAN</t>
        </is>
      </c>
      <c r="B10" s="6">
        <f>RAB!F93</f>
        <v/>
      </c>
      <c r="C10" s="6">
        <f>RAB!H93</f>
        <v/>
      </c>
      <c r="D10" s="6">
        <f>RAB!J93</f>
        <v/>
      </c>
    </row>
    <row r="11">
      <c r="A11" t="inlineStr">
        <is>
          <t>Biaya per m² lantai beratap</t>
        </is>
      </c>
      <c r="B11" s="7">
        <f>RAB!F94</f>
        <v/>
      </c>
      <c r="C11" s="7">
        <f>RAB!H94</f>
        <v/>
      </c>
      <c r="D11" s="7">
        <f>RAB!J94</f>
        <v/>
      </c>
    </row>
    <row r="12">
      <c r="A12" t="inlineStr">
        <is>
          <t>Modal yang tersedia (ubah bila perlu)</t>
        </is>
      </c>
      <c r="B12" s="8" t="n">
        <v>50000000</v>
      </c>
      <c r="C12" s="8" t="n">
        <v>50000000</v>
      </c>
      <c r="D12" s="8" t="n">
        <v>50000000</v>
      </c>
    </row>
    <row r="13">
      <c r="A13" s="5" t="inlineStr">
        <is>
          <t>Kekurangan dana (bangunan saja)</t>
        </is>
      </c>
      <c r="B13" s="9">
        <f>MAX(0,B10-B12)</f>
        <v/>
      </c>
      <c r="C13" s="9">
        <f>MAX(0,C10-C12)</f>
        <v/>
      </c>
      <c r="D13" s="9">
        <f>MAX(0,D10-D12)</f>
        <v/>
      </c>
    </row>
    <row r="15">
      <c r="A15" s="5" t="inlineStr">
        <is>
          <t>RINCIAN PER DIVISI</t>
        </is>
      </c>
    </row>
    <row r="16">
      <c r="A16" s="3" t="inlineStr">
        <is>
          <t>Divisi</t>
        </is>
      </c>
      <c r="B16" s="3" t="inlineStr">
        <is>
          <t>Paket A · Lengkap</t>
        </is>
      </c>
      <c r="C16" s="3" t="inlineStr">
        <is>
          <t>Paket B · Hemat</t>
        </is>
      </c>
      <c r="D16" s="3" t="inlineStr">
        <is>
          <t>Paket C · Mulai Kecil</t>
        </is>
      </c>
    </row>
    <row r="17">
      <c r="A17" t="inlineStr">
        <is>
          <t>I. Pekerjaan Persiapan</t>
        </is>
      </c>
      <c r="B17" s="7">
        <f>RAB!F10</f>
        <v/>
      </c>
      <c r="C17" s="7">
        <f>RAB!H10</f>
        <v/>
      </c>
      <c r="D17" s="7">
        <f>RAB!J10</f>
        <v/>
      </c>
    </row>
    <row r="18">
      <c r="A18" t="inlineStr">
        <is>
          <t>II. Pondasi &amp; Sloof</t>
        </is>
      </c>
      <c r="B18" s="7">
        <f>RAB!F15</f>
        <v/>
      </c>
      <c r="C18" s="7">
        <f>RAB!H15</f>
        <v/>
      </c>
      <c r="D18" s="7">
        <f>RAB!J15</f>
        <v/>
      </c>
    </row>
    <row r="19">
      <c r="A19" t="inlineStr">
        <is>
          <t>III. Lantai</t>
        </is>
      </c>
      <c r="B19" s="7">
        <f>RAB!F24</f>
        <v/>
      </c>
      <c r="C19" s="7">
        <f>RAB!H24</f>
        <v/>
      </c>
      <c r="D19" s="7">
        <f>RAB!J24</f>
        <v/>
      </c>
    </row>
    <row r="20">
      <c r="A20" t="inlineStr">
        <is>
          <t>IV. Struktur Baja (Kolom &amp; Ring Balk)</t>
        </is>
      </c>
      <c r="B20" s="7">
        <f>RAB!F32</f>
        <v/>
      </c>
      <c r="C20" s="7">
        <f>RAB!H32</f>
        <v/>
      </c>
      <c r="D20" s="7">
        <f>RAB!J32</f>
        <v/>
      </c>
    </row>
    <row r="21">
      <c r="A21" t="inlineStr">
        <is>
          <t>V. Atap</t>
        </is>
      </c>
      <c r="B21" s="7">
        <f>RAB!F41</f>
        <v/>
      </c>
      <c r="C21" s="7">
        <f>RAB!H41</f>
        <v/>
      </c>
      <c r="D21" s="7">
        <f>RAB!J41</f>
        <v/>
      </c>
    </row>
    <row r="22">
      <c r="A22" t="inlineStr">
        <is>
          <t>VI. Dinding Partisi</t>
        </is>
      </c>
      <c r="B22" s="7">
        <f>RAB!F51</f>
        <v/>
      </c>
      <c r="C22" s="7">
        <f>RAB!H51</f>
        <v/>
      </c>
      <c r="D22" s="7">
        <f>RAB!J51</f>
        <v/>
      </c>
    </row>
    <row r="23">
      <c r="A23" t="inlineStr">
        <is>
          <t>VII. Plafon</t>
        </is>
      </c>
      <c r="B23" s="7">
        <f>RAB!F55</f>
        <v/>
      </c>
      <c r="C23" s="7">
        <f>RAB!H55</f>
        <v/>
      </c>
      <c r="D23" s="7">
        <f>RAB!J55</f>
        <v/>
      </c>
    </row>
    <row r="24">
      <c r="A24" t="inlineStr">
        <is>
          <t>VIII. Pintu &amp; Jendela</t>
        </is>
      </c>
      <c r="B24" s="7">
        <f>RAB!F63</f>
        <v/>
      </c>
      <c r="C24" s="7">
        <f>RAB!H63</f>
        <v/>
      </c>
      <c r="D24" s="7">
        <f>RAB!J63</f>
        <v/>
      </c>
    </row>
    <row r="25">
      <c r="A25" t="inlineStr">
        <is>
          <t>IX. Air &amp; Sanitasi</t>
        </is>
      </c>
      <c r="B25" s="7">
        <f>RAB!F74</f>
        <v/>
      </c>
      <c r="C25" s="7">
        <f>RAB!H74</f>
        <v/>
      </c>
      <c r="D25" s="7">
        <f>RAB!J74</f>
        <v/>
      </c>
    </row>
    <row r="26">
      <c r="A26" t="inlineStr">
        <is>
          <t>X. Listrik</t>
        </is>
      </c>
      <c r="B26" s="7">
        <f>RAB!F82</f>
        <v/>
      </c>
      <c r="C26" s="7">
        <f>RAB!H82</f>
        <v/>
      </c>
      <c r="D26" s="7">
        <f>RAB!J82</f>
        <v/>
      </c>
    </row>
    <row r="27">
      <c r="A27" t="inlineStr">
        <is>
          <t>XI. Perizinan &amp; Lain-Lain</t>
        </is>
      </c>
      <c r="B27" s="7">
        <f>RAB!F89</f>
        <v/>
      </c>
      <c r="C27" s="7">
        <f>RAB!H89</f>
        <v/>
      </c>
      <c r="D27" s="7">
        <f>RAB!J89</f>
        <v/>
      </c>
    </row>
    <row r="28">
      <c r="A28" t="inlineStr">
        <is>
          <t>Kontingensi</t>
        </is>
      </c>
      <c r="B28" s="7">
        <f>RAB!F92</f>
        <v/>
      </c>
      <c r="C28" s="7">
        <f>RAB!H92</f>
        <v/>
      </c>
      <c r="D28" s="7">
        <f>RAB!J92</f>
        <v/>
      </c>
    </row>
    <row r="30">
      <c r="A30" s="5" t="inlineStr">
        <is>
          <t>CARA PAKAI</t>
        </is>
      </c>
    </row>
    <row r="31">
      <c r="A31" t="inlineStr">
        <is>
          <t>1. Sheet Input: ubah ukuran tanah, bangunan, jumlah pintu/titik listrik, dll. (sel kuning).</t>
        </is>
      </c>
    </row>
    <row r="32">
      <c r="A32" t="inlineStr">
        <is>
          <t>2. Sheet RAB: ganti harga satuan (kolom D) dengan harga dari tukang/toko di daerahmu.</t>
        </is>
      </c>
    </row>
    <row r="33">
      <c r="A33" t="inlineStr">
        <is>
          <t>3. Sheet Material: daftar belanja untuk mengecek penawaran tukang.</t>
        </is>
      </c>
    </row>
    <row r="34">
      <c r="A34" t="inlineStr">
        <is>
          <t>4. Sheet Jadwal: pilih paket, sesuaikan minggu mulai &amp; durasi, isi progres aktual tiap minggu.</t>
        </is>
      </c>
    </row>
    <row r="35">
      <c r="A35" t="inlineStr">
        <is>
          <t>5. Sheet Checklist QC: dipakai saat mengawasi tukang di lapangan.</t>
        </is>
      </c>
    </row>
    <row r="36">
      <c r="A36" t="inlineStr"/>
    </row>
    <row r="37">
      <c r="A37" s="5" t="inlineStr">
        <is>
          <t>CATATAN TEKNIS PENTING</t>
        </is>
      </c>
    </row>
    <row r="38">
      <c r="A38" t="inlineStr">
        <is>
          <t>• Baja ringan (kanal C75) dipakai untuk RANGKA ATAP. Kolom utama memakai hollow galvanis 100×100 tebal ≥ 2 mm yang dilas ke base plate &amp; angkur.</t>
        </is>
      </c>
    </row>
    <row r="39">
      <c r="A39" t="inlineStr">
        <is>
          <t>• Dinding partisi GRC: bagian bawah harus duduk di atas sloof beton (± 10–20 cm di atas tanah) supaya tidak lapuk terkena air.</t>
        </is>
      </c>
    </row>
    <row r="40">
      <c r="A40" t="inlineStr">
        <is>
          <t>• Toilet &amp; area basah dapur memakai bata ringan + waterproofing, bukan papan.</t>
        </is>
      </c>
    </row>
    <row r="41">
      <c r="A41" t="inlineStr">
        <is>
          <t>• Bangunan semi permanen tetap perlu PBG. Minta drafter/insinyur memeriksa gambar &amp; ukuran struktur, terutama jika jarak kolom &gt; 4 m atau daerah berangin kencang.</t>
        </is>
      </c>
    </row>
    <row r="42">
      <c r="A42" t="inlineStr">
        <is>
          <t>• Semua harga adalah perkiraan 2026 kota pinggiran (material + upah borongan). Minta minimal 3 penawaran.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0" customWidth="1" min="3" max="3"/>
    <col width="20" customWidth="1" min="4" max="4"/>
    <col width="20" customWidth="1" min="5" max="5"/>
    <col width="52" customWidth="1" min="6" max="6"/>
  </cols>
  <sheetData>
    <row r="1">
      <c r="A1" s="10" t="inlineStr">
        <is>
          <t>INPUT UKURAN &amp; SPESIFIKASI (sel kuning boleh diubah)</t>
        </is>
      </c>
    </row>
    <row r="2">
      <c r="A2" s="2" t="inlineStr">
        <is>
          <t>Satu kolom = satu pilihan bangunan. Ubah angka sesuai tanah dan kebutuhanmu; semua sheet lain ikut berubah.</t>
        </is>
      </c>
    </row>
    <row r="4">
      <c r="A4" s="3" t="inlineStr">
        <is>
          <t>Parameter</t>
        </is>
      </c>
      <c r="B4" s="3" t="inlineStr">
        <is>
          <t>Satuan</t>
        </is>
      </c>
      <c r="C4" s="3" t="inlineStr">
        <is>
          <t>Paket A · Lengkap</t>
        </is>
      </c>
      <c r="D4" s="3" t="inlineStr">
        <is>
          <t>Paket B · Hemat</t>
        </is>
      </c>
      <c r="E4" s="3" t="inlineStr">
        <is>
          <t>Paket C · Mulai Kecil</t>
        </is>
      </c>
      <c r="F4" s="3" t="inlineStr">
        <is>
          <t>Keterangan</t>
        </is>
      </c>
    </row>
    <row r="5">
      <c r="A5" s="11" t="inlineStr">
        <is>
          <t>TANAH</t>
        </is>
      </c>
      <c r="B5" s="12" t="n"/>
      <c r="C5" s="12" t="n"/>
      <c r="D5" s="12" t="n"/>
      <c r="E5" s="12" t="n"/>
      <c r="F5" s="12" t="n"/>
    </row>
    <row r="6">
      <c r="A6" t="inlineStr">
        <is>
          <t>Lebar tanah (sisi jalan)</t>
        </is>
      </c>
      <c r="B6" t="inlineStr">
        <is>
          <t>m</t>
        </is>
      </c>
      <c r="C6" s="13" t="n">
        <v>20</v>
      </c>
      <c r="D6" s="13" t="n">
        <v>20</v>
      </c>
      <c r="E6" s="13" t="n">
        <v>20</v>
      </c>
      <c r="F6" s="2" t="inlineStr">
        <is>
          <t>Tanah 400 m² diasumsikan 20 × 20 m</t>
        </is>
      </c>
    </row>
    <row r="7">
      <c r="A7" t="inlineStr">
        <is>
          <t>Panjang tanah (ke belakang)</t>
        </is>
      </c>
      <c r="B7" t="inlineStr">
        <is>
          <t>m</t>
        </is>
      </c>
      <c r="C7" s="13" t="n">
        <v>20</v>
      </c>
      <c r="D7" s="13" t="n">
        <v>20</v>
      </c>
      <c r="E7" s="13" t="n">
        <v>20</v>
      </c>
      <c r="F7" s="2" t="inlineStr"/>
    </row>
    <row r="8">
      <c r="A8" s="11" t="inlineStr">
        <is>
          <t>BANGUNAN TERTUTUP (dinding partisi)</t>
        </is>
      </c>
      <c r="B8" s="12" t="n"/>
      <c r="C8" s="12" t="n"/>
      <c r="D8" s="12" t="n"/>
      <c r="E8" s="12" t="n"/>
      <c r="F8" s="12" t="n"/>
    </row>
    <row r="9">
      <c r="A9" t="inlineStr">
        <is>
          <t>Lebar bangunan tertutup</t>
        </is>
      </c>
      <c r="B9" t="inlineStr">
        <is>
          <t>m</t>
        </is>
      </c>
      <c r="C9" s="13" t="n">
        <v>8</v>
      </c>
      <c r="D9" s="13" t="n">
        <v>6</v>
      </c>
      <c r="E9" s="13" t="n">
        <v>4</v>
      </c>
      <c r="F9" s="2" t="inlineStr">
        <is>
          <t>Sejajar jalan; teras beratap memakai lebar yang sama</t>
        </is>
      </c>
    </row>
    <row r="10">
      <c r="A10" t="inlineStr">
        <is>
          <t>Panjang bangunan tertutup</t>
        </is>
      </c>
      <c r="B10" t="inlineStr">
        <is>
          <t>m</t>
        </is>
      </c>
      <c r="C10" s="13" t="n">
        <v>10</v>
      </c>
      <c r="D10" s="13" t="n">
        <v>8</v>
      </c>
      <c r="E10" s="13" t="n">
        <v>5</v>
      </c>
      <c r="F10" s="2" t="inlineStr">
        <is>
          <t>Bar, area duduk dalam, dapur, toilet, gudang</t>
        </is>
      </c>
    </row>
    <row r="11">
      <c r="A11" t="inlineStr">
        <is>
          <t>Tinggi dinding</t>
        </is>
      </c>
      <c r="B11" t="inlineStr">
        <is>
          <t>m</t>
        </is>
      </c>
      <c r="C11" s="14" t="n">
        <v>3.2</v>
      </c>
      <c r="D11" s="14" t="n">
        <v>3</v>
      </c>
      <c r="E11" s="14" t="n">
        <v>3</v>
      </c>
      <c r="F11" s="2" t="inlineStr">
        <is>
          <t>Dari lantai ke ring balk</t>
        </is>
      </c>
    </row>
    <row r="12">
      <c r="A12" t="inlineStr">
        <is>
          <t>Panjang partisi dalam (GRC)</t>
        </is>
      </c>
      <c r="B12" t="inlineStr">
        <is>
          <t>m'</t>
        </is>
      </c>
      <c r="C12" s="13" t="n">
        <v>10</v>
      </c>
      <c r="D12" s="13" t="n">
        <v>6</v>
      </c>
      <c r="E12" s="13" t="n">
        <v>3</v>
      </c>
      <c r="F12" s="2" t="inlineStr">
        <is>
          <t>Sekat dapur, gudang, ruang staf</t>
        </is>
      </c>
    </row>
    <row r="13">
      <c r="A13" t="inlineStr">
        <is>
          <t>Jumlah toilet</t>
        </is>
      </c>
      <c r="B13" t="inlineStr">
        <is>
          <t>unit</t>
        </is>
      </c>
      <c r="C13" s="13" t="n">
        <v>2</v>
      </c>
      <c r="D13" s="13" t="n">
        <v>1</v>
      </c>
      <c r="E13" s="13" t="n">
        <v>1</v>
      </c>
      <c r="F13" s="2" t="inlineStr">
        <is>
          <t>Dinding toilet bata ringan (tahan air)</t>
        </is>
      </c>
    </row>
    <row r="14">
      <c r="A14" t="inlineStr">
        <is>
          <t>Panjang dinding toilet bata ringan</t>
        </is>
      </c>
      <c r="B14" t="inlineStr">
        <is>
          <t>m'</t>
        </is>
      </c>
      <c r="C14" s="13" t="n">
        <v>7</v>
      </c>
      <c r="D14" s="13" t="n">
        <v>4</v>
      </c>
      <c r="E14" s="13" t="n">
        <v>4</v>
      </c>
      <c r="F14" s="2" t="inlineStr"/>
    </row>
    <row r="15">
      <c r="A15" s="11" t="inlineStr">
        <is>
          <t>TERAS BERATAP &amp; ATAP</t>
        </is>
      </c>
      <c r="B15" s="12" t="n"/>
      <c r="C15" s="12" t="n"/>
      <c r="D15" s="12" t="n"/>
      <c r="E15" s="12" t="n"/>
      <c r="F15" s="12" t="n"/>
    </row>
    <row r="16">
      <c r="A16" t="inlineStr">
        <is>
          <t>Kedalaman teras beratap (terbuka)</t>
        </is>
      </c>
      <c r="B16" t="inlineStr">
        <is>
          <t>m</t>
        </is>
      </c>
      <c r="C16" s="13" t="n">
        <v>6</v>
      </c>
      <c r="D16" s="13" t="n">
        <v>8</v>
      </c>
      <c r="E16" s="13" t="n">
        <v>6</v>
      </c>
      <c r="F16" s="2" t="inlineStr">
        <is>
          <t>Area nongkrong semi-outdoor di depan bangunan</t>
        </is>
      </c>
    </row>
    <row r="17">
      <c r="A17" t="inlineStr">
        <is>
          <t>Overstek / tritisan atap</t>
        </is>
      </c>
      <c r="B17" t="inlineStr">
        <is>
          <t>m</t>
        </is>
      </c>
      <c r="C17" s="14" t="n">
        <v>0.6</v>
      </c>
      <c r="D17" s="14" t="n">
        <v>0.5</v>
      </c>
      <c r="E17" s="14" t="n">
        <v>0.5</v>
      </c>
      <c r="F17" s="2" t="inlineStr">
        <is>
          <t>Tiap sisi</t>
        </is>
      </c>
    </row>
    <row r="18">
      <c r="A18" t="inlineStr">
        <is>
          <t>Kemiringan atap pelana</t>
        </is>
      </c>
      <c r="B18" t="inlineStr">
        <is>
          <t>°</t>
        </is>
      </c>
      <c r="C18" s="13" t="n">
        <v>25</v>
      </c>
      <c r="D18" s="13" t="n">
        <v>20</v>
      </c>
      <c r="E18" s="13" t="n">
        <v>15</v>
      </c>
      <c r="F18" s="2" t="inlineStr">
        <is>
          <t>Spandek: min. 10–15°</t>
        </is>
      </c>
    </row>
    <row r="19">
      <c r="A19" t="inlineStr">
        <is>
          <t>Jarak kolom maksimum</t>
        </is>
      </c>
      <c r="B19" t="inlineStr">
        <is>
          <t>m</t>
        </is>
      </c>
      <c r="C19" s="13" t="n">
        <v>4</v>
      </c>
      <c r="D19" s="13" t="n">
        <v>4</v>
      </c>
      <c r="E19" s="13" t="n">
        <v>4</v>
      </c>
      <c r="F19" s="2" t="inlineStr">
        <is>
          <t>Jarak kolom &gt; 4 m perlu hitungan struktur</t>
        </is>
      </c>
    </row>
    <row r="20">
      <c r="A20" s="11" t="inlineStr">
        <is>
          <t>PINTU, JENDELA, FINISHING</t>
        </is>
      </c>
      <c r="B20" s="12" t="n"/>
      <c r="C20" s="12" t="n"/>
      <c r="D20" s="12" t="n"/>
      <c r="E20" s="12" t="n"/>
      <c r="F20" s="12" t="n"/>
    </row>
    <row r="21">
      <c r="A21" t="inlineStr">
        <is>
          <t>Lebar rolling door depan</t>
        </is>
      </c>
      <c r="B21" t="inlineStr">
        <is>
          <t>m</t>
        </is>
      </c>
      <c r="C21" s="13" t="n">
        <v>4</v>
      </c>
      <c r="D21" s="13" t="n">
        <v>3</v>
      </c>
      <c r="E21" s="13" t="n">
        <v>3</v>
      </c>
      <c r="F21" s="2" t="inlineStr"/>
    </row>
    <row r="22">
      <c r="A22" t="inlineStr">
        <is>
          <t>Tinggi rolling door depan</t>
        </is>
      </c>
      <c r="B22" t="inlineStr">
        <is>
          <t>m</t>
        </is>
      </c>
      <c r="C22" s="13" t="n">
        <v>3</v>
      </c>
      <c r="D22" s="14" t="n">
        <v>2.8</v>
      </c>
      <c r="E22" s="14" t="n">
        <v>2.5</v>
      </c>
      <c r="F22" s="2" t="inlineStr"/>
    </row>
    <row r="23">
      <c r="A23" t="inlineStr">
        <is>
          <t>Jumlah jendela aluminium 100×120</t>
        </is>
      </c>
      <c r="B23" t="inlineStr">
        <is>
          <t>unit</t>
        </is>
      </c>
      <c r="C23" s="13" t="n">
        <v>6</v>
      </c>
      <c r="D23" s="13" t="n">
        <v>3</v>
      </c>
      <c r="E23" s="13" t="n">
        <v>1</v>
      </c>
      <c r="F23" s="2" t="inlineStr"/>
    </row>
    <row r="24">
      <c r="A24" t="inlineStr">
        <is>
          <t>Jumlah pintu dalam (dapur/gudang)</t>
        </is>
      </c>
      <c r="B24" t="inlineStr">
        <is>
          <t>unit</t>
        </is>
      </c>
      <c r="C24" s="13" t="n">
        <v>2</v>
      </c>
      <c r="D24" s="13" t="n">
        <v>1</v>
      </c>
      <c r="E24" s="13" t="n">
        <v>0</v>
      </c>
      <c r="F24" s="2" t="inlineStr"/>
    </row>
    <row r="25">
      <c r="A25" t="inlineStr">
        <is>
          <t>Jumlah pintu belakang/servis</t>
        </is>
      </c>
      <c r="B25" t="inlineStr">
        <is>
          <t>unit</t>
        </is>
      </c>
      <c r="C25" s="13" t="n">
        <v>1</v>
      </c>
      <c r="D25" s="13" t="n">
        <v>1</v>
      </c>
      <c r="E25" s="13" t="n">
        <v>1</v>
      </c>
      <c r="F25" s="2" t="inlineStr"/>
    </row>
    <row r="26">
      <c r="A26" t="inlineStr">
        <is>
          <t>Pakai plafon di bangunan tertutup? (1 = ya, 0 = tidak)</t>
        </is>
      </c>
      <c r="B26" t="inlineStr">
        <is>
          <t>1/0</t>
        </is>
      </c>
      <c r="C26" s="13" t="n">
        <v>1</v>
      </c>
      <c r="D26" s="13" t="n">
        <v>0</v>
      </c>
      <c r="E26" s="13" t="n">
        <v>0</v>
      </c>
      <c r="F26" s="2" t="inlineStr">
        <is>
          <t>Tanpa plafon: rangka atap ekspos + foil</t>
        </is>
      </c>
    </row>
    <row r="27">
      <c r="A27" t="inlineStr">
        <is>
          <t>Lantai dalam keramik? (1 = keramik, 0 = floor hardener)</t>
        </is>
      </c>
      <c r="B27" t="inlineStr">
        <is>
          <t>1/0</t>
        </is>
      </c>
      <c r="C27" s="13" t="n">
        <v>1</v>
      </c>
      <c r="D27" s="13" t="n">
        <v>0</v>
      </c>
      <c r="E27" s="13" t="n">
        <v>0</v>
      </c>
      <c r="F27" s="2" t="inlineStr">
        <is>
          <t>Teras selalu floor hardener</t>
        </is>
      </c>
    </row>
    <row r="28">
      <c r="A28" t="inlineStr">
        <is>
          <t>Railing/pagar rendah teras</t>
        </is>
      </c>
      <c r="B28" t="inlineStr">
        <is>
          <t>m'</t>
        </is>
      </c>
      <c r="C28" s="13" t="n">
        <v>10</v>
      </c>
      <c r="D28" s="13" t="n">
        <v>0</v>
      </c>
      <c r="E28" s="13" t="n">
        <v>0</v>
      </c>
      <c r="F28" s="2" t="inlineStr"/>
    </row>
    <row r="29">
      <c r="A29" t="inlineStr">
        <is>
          <t>Luas parkir sirtu dipadatkan</t>
        </is>
      </c>
      <c r="B29" t="inlineStr">
        <is>
          <t>m²</t>
        </is>
      </c>
      <c r="C29" s="13" t="n">
        <v>80</v>
      </c>
      <c r="D29" s="13" t="n">
        <v>60</v>
      </c>
      <c r="E29" s="13" t="n">
        <v>30</v>
      </c>
      <c r="F29" s="2" t="inlineStr"/>
    </row>
    <row r="30">
      <c r="A30" s="11" t="inlineStr">
        <is>
          <t>AIR &amp; LISTRIK</t>
        </is>
      </c>
      <c r="B30" s="12" t="n"/>
      <c r="C30" s="12" t="n"/>
      <c r="D30" s="12" t="n"/>
      <c r="E30" s="12" t="n"/>
      <c r="F30" s="12" t="n"/>
    </row>
    <row r="31">
      <c r="A31" t="inlineStr">
        <is>
          <t>Titik lampu</t>
        </is>
      </c>
      <c r="B31" t="inlineStr">
        <is>
          <t>titik</t>
        </is>
      </c>
      <c r="C31" s="13" t="n">
        <v>20</v>
      </c>
      <c r="D31" s="13" t="n">
        <v>14</v>
      </c>
      <c r="E31" s="13" t="n">
        <v>8</v>
      </c>
      <c r="F31" s="2" t="inlineStr"/>
    </row>
    <row r="32">
      <c r="A32" t="inlineStr">
        <is>
          <t>Titik stop kontak</t>
        </is>
      </c>
      <c r="B32" t="inlineStr">
        <is>
          <t>titik</t>
        </is>
      </c>
      <c r="C32" s="13" t="n">
        <v>22</v>
      </c>
      <c r="D32" s="13" t="n">
        <v>14</v>
      </c>
      <c r="E32" s="13" t="n">
        <v>8</v>
      </c>
      <c r="F32" s="2" t="inlineStr">
        <is>
          <t>Termasuk colokan meja pelanggan</t>
        </is>
      </c>
    </row>
    <row r="33">
      <c r="A33" t="inlineStr">
        <is>
          <t>Titik air (kran, kloset, wastafel, sink)</t>
        </is>
      </c>
      <c r="B33" t="inlineStr">
        <is>
          <t>titik</t>
        </is>
      </c>
      <c r="C33" s="13" t="n">
        <v>8</v>
      </c>
      <c r="D33" s="13" t="n">
        <v>5</v>
      </c>
      <c r="E33" s="13" t="n">
        <v>4</v>
      </c>
      <c r="F33" s="2" t="inlineStr"/>
    </row>
    <row r="34">
      <c r="A34" t="inlineStr">
        <is>
          <t>Wastafel pelanggan</t>
        </is>
      </c>
      <c r="B34" t="inlineStr">
        <is>
          <t>unit</t>
        </is>
      </c>
      <c r="C34" s="13" t="n">
        <v>2</v>
      </c>
      <c r="D34" s="13" t="n">
        <v>1</v>
      </c>
      <c r="E34" s="13" t="n">
        <v>1</v>
      </c>
      <c r="F34" s="2" t="inlineStr"/>
    </row>
    <row r="35">
      <c r="A35" t="inlineStr">
        <is>
          <t>Daya PLN pasang baru</t>
        </is>
      </c>
      <c r="B35" t="inlineStr">
        <is>
          <t>VA</t>
        </is>
      </c>
      <c r="C35" s="13" t="n">
        <v>4400</v>
      </c>
      <c r="D35" s="13" t="n">
        <v>3500</v>
      </c>
      <c r="E35" s="13" t="n">
        <v>2200</v>
      </c>
      <c r="F35" s="2" t="inlineStr"/>
    </row>
    <row r="36">
      <c r="A36" t="inlineStr">
        <is>
          <t>Sumur bor + pompa? (1 = ya, 0 = PDAM/sudah ada)</t>
        </is>
      </c>
      <c r="B36" t="inlineStr">
        <is>
          <t>1/0</t>
        </is>
      </c>
      <c r="C36" s="13" t="n">
        <v>1</v>
      </c>
      <c r="D36" s="13" t="n">
        <v>1</v>
      </c>
      <c r="E36" s="13" t="n">
        <v>1</v>
      </c>
      <c r="F36" s="2" t="inlineStr"/>
    </row>
    <row r="37">
      <c r="A37" s="11" t="inlineStr">
        <is>
          <t>LAIN-LAIN</t>
        </is>
      </c>
      <c r="B37" s="12" t="n"/>
      <c r="C37" s="12" t="n"/>
      <c r="D37" s="12" t="n"/>
      <c r="E37" s="12" t="n"/>
      <c r="F37" s="12" t="n"/>
    </row>
    <row r="38">
      <c r="A38" t="inlineStr">
        <is>
          <t>Urus PBG &amp; gambar kerja? (1 = ya)</t>
        </is>
      </c>
      <c r="B38" t="inlineStr">
        <is>
          <t>1/0</t>
        </is>
      </c>
      <c r="C38" s="13" t="n">
        <v>1</v>
      </c>
      <c r="D38" s="13" t="n">
        <v>1</v>
      </c>
      <c r="E38" s="13" t="n">
        <v>1</v>
      </c>
      <c r="F38" s="2" t="inlineStr">
        <is>
          <t>Persetujuan Bangunan Gedung, wajib sebelum membangun</t>
        </is>
      </c>
    </row>
    <row r="39">
      <c r="A39" t="inlineStr">
        <is>
          <t>Dana tak terduga (kontingensi)</t>
        </is>
      </c>
      <c r="B39" t="inlineStr">
        <is>
          <t>%</t>
        </is>
      </c>
      <c r="C39" s="15" t="n">
        <v>0.1</v>
      </c>
      <c r="D39" s="15" t="n">
        <v>0.1</v>
      </c>
      <c r="E39" s="15" t="n">
        <v>0.1</v>
      </c>
      <c r="F39" s="2" t="inlineStr">
        <is>
          <t>Disarankan 10%</t>
        </is>
      </c>
    </row>
    <row r="40">
      <c r="A40" t="inlineStr">
        <is>
          <t>Faktor sisa/potongan material</t>
        </is>
      </c>
      <c r="B40" t="inlineStr">
        <is>
          <t>%</t>
        </is>
      </c>
      <c r="C40" s="15" t="n">
        <v>0.07000000000000001</v>
      </c>
      <c r="D40" s="15" t="n">
        <v>0.07000000000000001</v>
      </c>
      <c r="E40" s="15" t="n">
        <v>0.07000000000000001</v>
      </c>
      <c r="F40" s="2" t="inlineStr">
        <is>
          <t>Untuk daftar belanja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0" customWidth="1" min="3" max="3"/>
    <col width="20" customWidth="1" min="4" max="4"/>
    <col width="20" customWidth="1" min="5" max="5"/>
    <col width="44" customWidth="1" min="6" max="6"/>
  </cols>
  <sheetData>
    <row r="1">
      <c r="A1" s="10" t="inlineStr">
        <is>
          <t>PERHITUNGAN VOLUME (otomatis dari sheet Input)</t>
        </is>
      </c>
    </row>
    <row r="3">
      <c r="A3" s="3" t="inlineStr">
        <is>
          <t>Uraian</t>
        </is>
      </c>
      <c r="B3" s="3" t="inlineStr">
        <is>
          <t>Satuan</t>
        </is>
      </c>
      <c r="C3" s="3" t="inlineStr">
        <is>
          <t>Paket A · Lengkap</t>
        </is>
      </c>
      <c r="D3" s="3" t="inlineStr">
        <is>
          <t>Paket B · Hemat</t>
        </is>
      </c>
      <c r="E3" s="3" t="inlineStr">
        <is>
          <t>Paket C · Mulai Kecil</t>
        </is>
      </c>
      <c r="F3" s="3" t="inlineStr">
        <is>
          <t>Cara hitung</t>
        </is>
      </c>
    </row>
    <row r="4">
      <c r="A4" s="11" t="inlineStr">
        <is>
          <t>LUAS</t>
        </is>
      </c>
      <c r="B4" s="12" t="n"/>
      <c r="C4" s="12" t="n"/>
      <c r="D4" s="12" t="n"/>
      <c r="E4" s="12" t="n"/>
      <c r="F4" s="12" t="n"/>
    </row>
    <row r="5">
      <c r="A5" t="inlineStr">
        <is>
          <t>Luas tanah</t>
        </is>
      </c>
      <c r="B5" t="inlineStr">
        <is>
          <t>m²</t>
        </is>
      </c>
      <c r="C5" s="16">
        <f>Input!$C$6*Input!$C$7</f>
        <v/>
      </c>
      <c r="D5" s="16">
        <f>Input!$D$6*Input!$D$7</f>
        <v/>
      </c>
      <c r="E5" s="16">
        <f>Input!$E$6*Input!$E$7</f>
        <v/>
      </c>
      <c r="F5" s="2" t="inlineStr">
        <is>
          <t>lebar × panjang tanah</t>
        </is>
      </c>
    </row>
    <row r="6">
      <c r="A6" t="inlineStr">
        <is>
          <t>Luas bangunan tertutup</t>
        </is>
      </c>
      <c r="B6" t="inlineStr">
        <is>
          <t>m²</t>
        </is>
      </c>
      <c r="C6" s="16">
        <f>Input!$C$9*Input!$C$10</f>
        <v/>
      </c>
      <c r="D6" s="16">
        <f>Input!$D$9*Input!$D$10</f>
        <v/>
      </c>
      <c r="E6" s="16">
        <f>Input!$E$9*Input!$E$10</f>
        <v/>
      </c>
      <c r="F6" s="2" t="inlineStr"/>
    </row>
    <row r="7">
      <c r="A7" t="inlineStr">
        <is>
          <t>Luas teras beratap</t>
        </is>
      </c>
      <c r="B7" t="inlineStr">
        <is>
          <t>m²</t>
        </is>
      </c>
      <c r="C7" s="16">
        <f>Input!$C$9*Input!$C$16</f>
        <v/>
      </c>
      <c r="D7" s="16">
        <f>Input!$D$9*Input!$D$16</f>
        <v/>
      </c>
      <c r="E7" s="16">
        <f>Input!$E$9*Input!$E$16</f>
        <v/>
      </c>
      <c r="F7" s="2" t="inlineStr">
        <is>
          <t>lebar bangunan × kedalaman teras</t>
        </is>
      </c>
    </row>
    <row r="8">
      <c r="A8" t="inlineStr">
        <is>
          <t>Luas lantai beratap total</t>
        </is>
      </c>
      <c r="B8" t="inlineStr">
        <is>
          <t>m²</t>
        </is>
      </c>
      <c r="C8" s="16">
        <f>$C$6+$C$7</f>
        <v/>
      </c>
      <c r="D8" s="16">
        <f>$D$6+$D$7</f>
        <v/>
      </c>
      <c r="E8" s="16">
        <f>$E$6+$E$7</f>
        <v/>
      </c>
      <c r="F8" s="2" t="inlineStr"/>
    </row>
    <row r="9">
      <c r="A9" t="inlineStr">
        <is>
          <t>Koefisien dasar bangunan (KDB)</t>
        </is>
      </c>
      <c r="B9" t="inlineStr">
        <is>
          <t>%</t>
        </is>
      </c>
      <c r="C9" s="17">
        <f>$C$8/$C$5</f>
        <v/>
      </c>
      <c r="D9" s="17">
        <f>$D$8/$D$5</f>
        <v/>
      </c>
      <c r="E9" s="17">
        <f>$E$8/$E$5</f>
        <v/>
      </c>
      <c r="F9" s="2" t="inlineStr">
        <is>
          <t>Cek batas KDB di Perda/RTRW setempat</t>
        </is>
      </c>
    </row>
    <row r="10">
      <c r="A10" s="11" t="inlineStr">
        <is>
          <t>ATAP &amp; STRUKTUR</t>
        </is>
      </c>
      <c r="B10" s="12" t="n"/>
      <c r="C10" s="12" t="n"/>
      <c r="D10" s="12" t="n"/>
      <c r="E10" s="12" t="n"/>
      <c r="F10" s="12" t="n"/>
    </row>
    <row r="11">
      <c r="A11" t="inlineStr">
        <is>
          <t>Panjang atap (proyeksi)</t>
        </is>
      </c>
      <c r="B11" t="inlineStr">
        <is>
          <t>m</t>
        </is>
      </c>
      <c r="C11" s="16">
        <f>Input!$C$10+Input!$C$16+2*Input!$C$17</f>
        <v/>
      </c>
      <c r="D11" s="16">
        <f>Input!$D$10+Input!$D$16+2*Input!$D$17</f>
        <v/>
      </c>
      <c r="E11" s="16">
        <f>Input!$E$10+Input!$E$16+2*Input!$E$17</f>
        <v/>
      </c>
      <c r="F11" s="2" t="inlineStr"/>
    </row>
    <row r="12">
      <c r="A12" t="inlineStr">
        <is>
          <t>Lebar atap (proyeksi)</t>
        </is>
      </c>
      <c r="B12" t="inlineStr">
        <is>
          <t>m</t>
        </is>
      </c>
      <c r="C12" s="16">
        <f>Input!$C$9+2*Input!$C$17</f>
        <v/>
      </c>
      <c r="D12" s="16">
        <f>Input!$D$9+2*Input!$D$17</f>
        <v/>
      </c>
      <c r="E12" s="16">
        <f>Input!$E$9+2*Input!$E$17</f>
        <v/>
      </c>
      <c r="F12" s="2" t="inlineStr"/>
    </row>
    <row r="13">
      <c r="A13" t="inlineStr">
        <is>
          <t>Luas proyeksi atap</t>
        </is>
      </c>
      <c r="B13" t="inlineStr">
        <is>
          <t>m²</t>
        </is>
      </c>
      <c r="C13" s="16">
        <f>$C$11*$C$12</f>
        <v/>
      </c>
      <c r="D13" s="16">
        <f>$D$11*$D$12</f>
        <v/>
      </c>
      <c r="E13" s="16">
        <f>$E$11*$E$12</f>
        <v/>
      </c>
      <c r="F13" s="2" t="inlineStr"/>
    </row>
    <row r="14">
      <c r="A14" t="inlineStr">
        <is>
          <t>Luas bidang atap miring</t>
        </is>
      </c>
      <c r="B14" t="inlineStr">
        <is>
          <t>m²</t>
        </is>
      </c>
      <c r="C14" s="16">
        <f>$C$13/COS(RADIANS(Input!$C$18))</f>
        <v/>
      </c>
      <c r="D14" s="16">
        <f>$D$13/COS(RADIANS(Input!$D$18))</f>
        <v/>
      </c>
      <c r="E14" s="16">
        <f>$E$13/COS(RADIANS(Input!$E$18))</f>
        <v/>
      </c>
      <c r="F14" s="2" t="inlineStr">
        <is>
          <t>proyeksi ÷ cos(kemiringan)</t>
        </is>
      </c>
    </row>
    <row r="15">
      <c r="A15" t="inlineStr">
        <is>
          <t>Jumlah baris kolom arah lebar</t>
        </is>
      </c>
      <c r="B15" t="inlineStr">
        <is>
          <t>baris</t>
        </is>
      </c>
      <c r="C15" s="16">
        <f>ROUNDUP(Input!$C$9/Input!$C$19,0)+1</f>
        <v/>
      </c>
      <c r="D15" s="16">
        <f>ROUNDUP(Input!$D$9/Input!$D$19,0)+1</f>
        <v/>
      </c>
      <c r="E15" s="16">
        <f>ROUNDUP(Input!$E$9/Input!$E$19,0)+1</f>
        <v/>
      </c>
      <c r="F15" s="2" t="inlineStr"/>
    </row>
    <row r="16">
      <c r="A16" t="inlineStr">
        <is>
          <t>Jumlah baris kolom arah panjang</t>
        </is>
      </c>
      <c r="B16" t="inlineStr">
        <is>
          <t>baris</t>
        </is>
      </c>
      <c r="C16" s="16">
        <f>ROUNDUP((Input!$C$10+Input!$C$16)/Input!$C$19,0)+1</f>
        <v/>
      </c>
      <c r="D16" s="16">
        <f>ROUNDUP((Input!$D$10+Input!$D$16)/Input!$D$19,0)+1</f>
        <v/>
      </c>
      <c r="E16" s="16">
        <f>ROUNDUP((Input!$E$10+Input!$E$16)/Input!$E$19,0)+1</f>
        <v/>
      </c>
      <c r="F16" s="2" t="inlineStr"/>
    </row>
    <row r="17">
      <c r="A17" t="inlineStr">
        <is>
          <t>Jumlah kolom baja</t>
        </is>
      </c>
      <c r="B17" t="inlineStr">
        <is>
          <t>titik</t>
        </is>
      </c>
      <c r="C17" s="16">
        <f>$C$15*$C$16</f>
        <v/>
      </c>
      <c r="D17" s="16">
        <f>$D$15*$D$16</f>
        <v/>
      </c>
      <c r="E17" s="16">
        <f>$E$15*$E$16</f>
        <v/>
      </c>
      <c r="F17" s="2" t="inlineStr">
        <is>
          <t>grid kolom</t>
        </is>
      </c>
    </row>
    <row r="18">
      <c r="A18" t="inlineStr">
        <is>
          <t>Panjang ring balk</t>
        </is>
      </c>
      <c r="B18" t="inlineStr">
        <is>
          <t>m'</t>
        </is>
      </c>
      <c r="C18" s="16">
        <f>$C$15*(Input!$C$10+Input!$C$16)+$C$16*Input!$C$9</f>
        <v/>
      </c>
      <c r="D18" s="16">
        <f>$D$15*(Input!$D$10+Input!$D$16)+$D$16*Input!$D$9</f>
        <v/>
      </c>
      <c r="E18" s="16">
        <f>$E$15*(Input!$E$10+Input!$E$16)+$E$16*Input!$E$9</f>
        <v/>
      </c>
      <c r="F18" s="2" t="inlineStr">
        <is>
          <t>semua garis grid kolom</t>
        </is>
      </c>
    </row>
    <row r="19">
      <c r="A19" t="inlineStr">
        <is>
          <t>Batang ring balk hollow 6 m</t>
        </is>
      </c>
      <c r="B19" t="inlineStr">
        <is>
          <t>batang</t>
        </is>
      </c>
      <c r="C19" s="16">
        <f>ROUNDUP($C$18/6*(1+Input!$C$40),0)</f>
        <v/>
      </c>
      <c r="D19" s="16">
        <f>ROUNDUP($D$18/6*(1+Input!$D$40),0)</f>
        <v/>
      </c>
      <c r="E19" s="16">
        <f>ROUNDUP($E$18/6*(1+Input!$E$40),0)</f>
        <v/>
      </c>
      <c r="F19" s="2" t="inlineStr"/>
    </row>
    <row r="20">
      <c r="A20" t="inlineStr">
        <is>
          <t>Panjang nok/bubungan</t>
        </is>
      </c>
      <c r="B20" t="inlineStr">
        <is>
          <t>m'</t>
        </is>
      </c>
      <c r="C20" s="16">
        <f>$C$11</f>
        <v/>
      </c>
      <c r="D20" s="16">
        <f>$D$11</f>
        <v/>
      </c>
      <c r="E20" s="16">
        <f>$E$11</f>
        <v/>
      </c>
      <c r="F20" s="2" t="inlineStr"/>
    </row>
    <row r="21">
      <c r="A21" t="inlineStr">
        <is>
          <t>Panjang lisplang</t>
        </is>
      </c>
      <c r="B21" t="inlineStr">
        <is>
          <t>m'</t>
        </is>
      </c>
      <c r="C21" s="16">
        <f>2*$C$11+2*$C$12/COS(RADIANS(Input!$C$18))</f>
        <v/>
      </c>
      <c r="D21" s="16">
        <f>2*$D$11+2*$D$12/COS(RADIANS(Input!$D$18))</f>
        <v/>
      </c>
      <c r="E21" s="16">
        <f>2*$E$11+2*$E$12/COS(RADIANS(Input!$E$18))</f>
        <v/>
      </c>
      <c r="F21" s="2" t="inlineStr"/>
    </row>
    <row r="22">
      <c r="A22" t="inlineStr">
        <is>
          <t>Panjang talang</t>
        </is>
      </c>
      <c r="B22" t="inlineStr">
        <is>
          <t>m'</t>
        </is>
      </c>
      <c r="C22" s="16">
        <f>2*$C$11</f>
        <v/>
      </c>
      <c r="D22" s="16">
        <f>2*$D$11</f>
        <v/>
      </c>
      <c r="E22" s="16">
        <f>2*$E$11</f>
        <v/>
      </c>
      <c r="F22" s="2" t="inlineStr">
        <is>
          <t>dua sisi tritisan</t>
        </is>
      </c>
    </row>
    <row r="23">
      <c r="A23" s="11" t="inlineStr">
        <is>
          <t>PONDASI &amp; LANTAI</t>
        </is>
      </c>
      <c r="B23" s="12" t="n"/>
      <c r="C23" s="12" t="n"/>
      <c r="D23" s="12" t="n"/>
      <c r="E23" s="12" t="n"/>
      <c r="F23" s="12" t="n"/>
    </row>
    <row r="24">
      <c r="A24" t="inlineStr">
        <is>
          <t>Keliling bangunan tertutup</t>
        </is>
      </c>
      <c r="B24" t="inlineStr">
        <is>
          <t>m'</t>
        </is>
      </c>
      <c r="C24" s="16">
        <f>2*(Input!$C$9+Input!$C$10)</f>
        <v/>
      </c>
      <c r="D24" s="16">
        <f>2*(Input!$D$9+Input!$D$10)</f>
        <v/>
      </c>
      <c r="E24" s="16">
        <f>2*(Input!$E$9+Input!$E$10)</f>
        <v/>
      </c>
      <c r="F24" s="2" t="inlineStr"/>
    </row>
    <row r="25">
      <c r="A25" t="inlineStr">
        <is>
          <t>Panjang sloof (bawah dinding)</t>
        </is>
      </c>
      <c r="B25" t="inlineStr">
        <is>
          <t>m'</t>
        </is>
      </c>
      <c r="C25" s="16">
        <f>$C$24+Input!$C$12+Input!$C$14</f>
        <v/>
      </c>
      <c r="D25" s="16">
        <f>$D$24+Input!$D$12+Input!$D$14</f>
        <v/>
      </c>
      <c r="E25" s="16">
        <f>$E$24+Input!$E$12+Input!$E$14</f>
        <v/>
      </c>
      <c r="F25" s="2" t="inlineStr"/>
    </row>
    <row r="26">
      <c r="A26" t="inlineStr">
        <is>
          <t>Urugan pasir t = 10 cm</t>
        </is>
      </c>
      <c r="B26" t="inlineStr">
        <is>
          <t>m³</t>
        </is>
      </c>
      <c r="C26" s="16">
        <f>$C$8*0.1</f>
        <v/>
      </c>
      <c r="D26" s="16">
        <f>$D$8*0.1</f>
        <v/>
      </c>
      <c r="E26" s="16">
        <f>$E$8*0.1</f>
        <v/>
      </c>
      <c r="F26" s="2" t="inlineStr"/>
    </row>
    <row r="27">
      <c r="A27" t="inlineStr">
        <is>
          <t>Lantai rabat beton t = 8 cm + wiremesh</t>
        </is>
      </c>
      <c r="B27" t="inlineStr">
        <is>
          <t>m²</t>
        </is>
      </c>
      <c r="C27" s="16">
        <f>$C$8</f>
        <v/>
      </c>
      <c r="D27" s="16">
        <f>$D$8</f>
        <v/>
      </c>
      <c r="E27" s="16">
        <f>$E$8</f>
        <v/>
      </c>
      <c r="F27" s="2" t="inlineStr"/>
    </row>
    <row r="28">
      <c r="A28" t="inlineStr">
        <is>
          <t>Keramik lantai dalam</t>
        </is>
      </c>
      <c r="B28" t="inlineStr">
        <is>
          <t>m²</t>
        </is>
      </c>
      <c r="C28" s="16">
        <f>Input!$C$27*$C$6</f>
        <v/>
      </c>
      <c r="D28" s="16">
        <f>Input!$D$27*$D$6</f>
        <v/>
      </c>
      <c r="E28" s="16">
        <f>Input!$E$27*$E$6</f>
        <v/>
      </c>
      <c r="F28" s="2" t="inlineStr"/>
    </row>
    <row r="29">
      <c r="A29" t="inlineStr">
        <is>
          <t>Floor hardener / acian (teras + dalam bila tanpa keramik)</t>
        </is>
      </c>
      <c r="B29" t="inlineStr">
        <is>
          <t>m²</t>
        </is>
      </c>
      <c r="C29" s="16">
        <f>$C$7+(1-Input!$C$27)*$C$6</f>
        <v/>
      </c>
      <c r="D29" s="16">
        <f>$D$7+(1-Input!$D$27)*$D$6</f>
        <v/>
      </c>
      <c r="E29" s="16">
        <f>$E$7+(1-Input!$E$27)*$E$6</f>
        <v/>
      </c>
      <c r="F29" s="2" t="inlineStr"/>
    </row>
    <row r="30">
      <c r="A30" t="inlineStr">
        <is>
          <t>Keramik dinding toilet h = 1,5 m</t>
        </is>
      </c>
      <c r="B30" t="inlineStr">
        <is>
          <t>m²</t>
        </is>
      </c>
      <c r="C30" s="16">
        <f>Input!$C$13*6*1.5</f>
        <v/>
      </c>
      <c r="D30" s="16">
        <f>Input!$D$13*6*1.5</f>
        <v/>
      </c>
      <c r="E30" s="16">
        <f>Input!$E$13*6*1.5</f>
        <v/>
      </c>
      <c r="F30" s="2" t="inlineStr">
        <is>
          <t>± 6 m' keliling per toilet</t>
        </is>
      </c>
    </row>
    <row r="31">
      <c r="A31" s="11" t="inlineStr">
        <is>
          <t>DINDING</t>
        </is>
      </c>
      <c r="B31" s="12" t="n"/>
      <c r="C31" s="12" t="n"/>
      <c r="D31" s="12" t="n"/>
      <c r="E31" s="12" t="n"/>
      <c r="F31" s="12" t="n"/>
    </row>
    <row r="32">
      <c r="A32" t="inlineStr">
        <is>
          <t>Luas bukaan di dinding luar</t>
        </is>
      </c>
      <c r="B32" t="inlineStr">
        <is>
          <t>m²</t>
        </is>
      </c>
      <c r="C32" s="16">
        <f>Input!$C$21*Input!$C$22+Input!$C$23*1*1.2+Input!$C$25*0.9*2.1</f>
        <v/>
      </c>
      <c r="D32" s="16">
        <f>Input!$D$21*Input!$D$22+Input!$D$23*1*1.2+Input!$D$25*0.9*2.1</f>
        <v/>
      </c>
      <c r="E32" s="16">
        <f>Input!$E$21*Input!$E$22+Input!$E$23*1*1.2+Input!$E$25*0.9*2.1</f>
        <v/>
      </c>
      <c r="F32" s="2" t="inlineStr"/>
    </row>
    <row r="33">
      <c r="A33" t="inlineStr">
        <is>
          <t>Dinding luar partisi (bersih)</t>
        </is>
      </c>
      <c r="B33" t="inlineStr">
        <is>
          <t>m²</t>
        </is>
      </c>
      <c r="C33" s="16">
        <f>$C$24*Input!$C$11-$C$32</f>
        <v/>
      </c>
      <c r="D33" s="16">
        <f>$D$24*Input!$D$11-$D$32</f>
        <v/>
      </c>
      <c r="E33" s="16">
        <f>$E$24*Input!$E$11-$E$32</f>
        <v/>
      </c>
      <c r="F33" s="2" t="inlineStr">
        <is>
          <t>keliling × tinggi − bukaan</t>
        </is>
      </c>
    </row>
    <row r="34">
      <c r="A34" t="inlineStr">
        <is>
          <t>Partisi dalam (bersih)</t>
        </is>
      </c>
      <c r="B34" t="inlineStr">
        <is>
          <t>m²</t>
        </is>
      </c>
      <c r="C34" s="16">
        <f>Input!$C$12*Input!$C$11-Input!$C$24*0.8*2.1</f>
        <v/>
      </c>
      <c r="D34" s="16">
        <f>Input!$D$12*Input!$D$11-Input!$D$24*0.8*2.1</f>
        <v/>
      </c>
      <c r="E34" s="16">
        <f>Input!$E$12*Input!$E$11-Input!$E$24*0.8*2.1</f>
        <v/>
      </c>
      <c r="F34" s="2" t="inlineStr"/>
    </row>
    <row r="35">
      <c r="A35" t="inlineStr">
        <is>
          <t>Dinding toilet bata ringan (bersih)</t>
        </is>
      </c>
      <c r="B35" t="inlineStr">
        <is>
          <t>m²</t>
        </is>
      </c>
      <c r="C35" s="16">
        <f>Input!$C$14*Input!$C$11-Input!$C$13*0.7*2</f>
        <v/>
      </c>
      <c r="D35" s="16">
        <f>Input!$D$14*Input!$D$11-Input!$D$13*0.7*2</f>
        <v/>
      </c>
      <c r="E35" s="16">
        <f>Input!$E$14*Input!$E$11-Input!$E$13*0.7*2</f>
        <v/>
      </c>
      <c r="F35" s="2" t="inlineStr"/>
    </row>
    <row r="36">
      <c r="A36" t="inlineStr">
        <is>
          <t>Waterproofing toilet (lantai + dinding)</t>
        </is>
      </c>
      <c r="B36" t="inlineStr">
        <is>
          <t>m²</t>
        </is>
      </c>
      <c r="C36" s="16">
        <f>$C$30+Input!$C$13*2.25</f>
        <v/>
      </c>
      <c r="D36" s="16">
        <f>$D$30+Input!$D$13*2.25</f>
        <v/>
      </c>
      <c r="E36" s="16">
        <f>$E$30+Input!$E$13*2.25</f>
        <v/>
      </c>
      <c r="F36" s="2" t="inlineStr"/>
    </row>
    <row r="37">
      <c r="A37" t="inlineStr">
        <is>
          <t>Cat interior</t>
        </is>
      </c>
      <c r="B37" t="inlineStr">
        <is>
          <t>m²</t>
        </is>
      </c>
      <c r="C37" s="16">
        <f>$C$33+2*$C$34+$C$35</f>
        <v/>
      </c>
      <c r="D37" s="16">
        <f>$D$33+2*$D$34+$D$35</f>
        <v/>
      </c>
      <c r="E37" s="16">
        <f>$E$33+2*$E$34+$E$35</f>
        <v/>
      </c>
      <c r="F37" s="2" t="inlineStr"/>
    </row>
    <row r="38">
      <c r="A38" t="inlineStr">
        <is>
          <t>Cat eksterior</t>
        </is>
      </c>
      <c r="B38" t="inlineStr">
        <is>
          <t>m²</t>
        </is>
      </c>
      <c r="C38" s="16">
        <f>$C$33</f>
        <v/>
      </c>
      <c r="D38" s="16">
        <f>$D$33</f>
        <v/>
      </c>
      <c r="E38" s="16">
        <f>$E$33</f>
        <v/>
      </c>
      <c r="F38" s="2" t="inlineStr"/>
    </row>
    <row r="39">
      <c r="A39" t="inlineStr">
        <is>
          <t>Plafon</t>
        </is>
      </c>
      <c r="B39" t="inlineStr">
        <is>
          <t>m²</t>
        </is>
      </c>
      <c r="C39" s="16">
        <f>Input!$C$26*$C$6</f>
        <v/>
      </c>
      <c r="D39" s="16">
        <f>Input!$D$26*$D$6</f>
        <v/>
      </c>
      <c r="E39" s="16">
        <f>Input!$E$26*$E$6</f>
        <v/>
      </c>
      <c r="F39" s="2" t="inlineStr"/>
    </row>
    <row r="40">
      <c r="A40" t="inlineStr">
        <is>
          <t>Rolling door</t>
        </is>
      </c>
      <c r="B40" t="inlineStr">
        <is>
          <t>m²</t>
        </is>
      </c>
      <c r="C40" s="16">
        <f>Input!$C$21*Input!$C$22</f>
        <v/>
      </c>
      <c r="D40" s="16">
        <f>Input!$D$21*Input!$D$22</f>
        <v/>
      </c>
      <c r="E40" s="16">
        <f>Input!$E$21*Input!$E$22</f>
        <v/>
      </c>
      <c r="F40" s="2" t="inlineStr"/>
    </row>
    <row r="41">
      <c r="A41" s="11" t="inlineStr">
        <is>
          <t>UTILITAS</t>
        </is>
      </c>
      <c r="B41" s="12" t="n"/>
      <c r="C41" s="12" t="n"/>
      <c r="D41" s="12" t="n"/>
      <c r="E41" s="12" t="n"/>
      <c r="F41" s="12" t="n"/>
    </row>
    <row r="42">
      <c r="A42" t="inlineStr">
        <is>
          <t>Saluran drainase keliling atap</t>
        </is>
      </c>
      <c r="B42" t="inlineStr">
        <is>
          <t>m'</t>
        </is>
      </c>
      <c r="C42" s="16">
        <f>2*($C$11+$C$12)</f>
        <v/>
      </c>
      <c r="D42" s="16">
        <f>2*($D$11+$D$12)</f>
        <v/>
      </c>
      <c r="E42" s="16">
        <f>2*($E$11+$E$12)</f>
        <v/>
      </c>
      <c r="F42" s="2" t="inlineStr"/>
    </row>
    <row r="43">
      <c r="A43" t="inlineStr">
        <is>
          <t>Titik listrik total</t>
        </is>
      </c>
      <c r="B43" t="inlineStr">
        <is>
          <t>titik</t>
        </is>
      </c>
      <c r="C43" s="16">
        <f>Input!$C$31+Input!$C$32</f>
        <v/>
      </c>
      <c r="D43" s="16">
        <f>Input!$D$31+Input!$D$32</f>
        <v/>
      </c>
      <c r="E43" s="16">
        <f>Input!$E$31+Input!$E$32</f>
        <v/>
      </c>
      <c r="F4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8" customWidth="1" min="3" max="3"/>
    <col width="15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46" customWidth="1" min="11" max="11"/>
  </cols>
  <sheetData>
    <row r="1">
      <c r="A1" s="10" t="inlineStr">
        <is>
          <t>RENCANA ANGGARAN BIAYA (harga satuan = material + upah, sistem borongan)</t>
        </is>
      </c>
    </row>
    <row r="2">
      <c r="A2" s="2" t="inlineStr">
        <is>
          <t>Harga satuan adalah perkiraan 2026 untuk kota pinggiran. Minta minimal 3 penawaran tukang/kontraktor, lalu ganti sel kuning kolom D.</t>
        </is>
      </c>
    </row>
    <row r="4">
      <c r="A4" s="3" t="inlineStr">
        <is>
          <t>No</t>
        </is>
      </c>
      <c r="B4" s="3" t="inlineStr">
        <is>
          <t>Uraian pekerjaan</t>
        </is>
      </c>
      <c r="C4" s="3" t="inlineStr">
        <is>
          <t>Satuan</t>
        </is>
      </c>
      <c r="D4" s="3" t="inlineStr">
        <is>
          <t>Harga satuan</t>
        </is>
      </c>
      <c r="E4" s="3" t="inlineStr">
        <is>
          <t>Vol A</t>
        </is>
      </c>
      <c r="F4" s="3" t="inlineStr">
        <is>
          <t>Jumlah A</t>
        </is>
      </c>
      <c r="G4" s="3" t="inlineStr">
        <is>
          <t>Vol B</t>
        </is>
      </c>
      <c r="H4" s="3" t="inlineStr">
        <is>
          <t>Jumlah B</t>
        </is>
      </c>
      <c r="I4" s="3" t="inlineStr">
        <is>
          <t>Vol C</t>
        </is>
      </c>
      <c r="J4" s="3" t="inlineStr">
        <is>
          <t>Jumlah C</t>
        </is>
      </c>
      <c r="K4" s="3" t="inlineStr">
        <is>
          <t>Spesifikasi / catatan</t>
        </is>
      </c>
    </row>
    <row r="5">
      <c r="A5" s="11" t="inlineStr">
        <is>
          <t>I</t>
        </is>
      </c>
      <c r="B5" s="11" t="inlineStr">
        <is>
          <t>PEKERJAAN PERSIAPAN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t="n">
        <v>1</v>
      </c>
      <c r="B6" t="inlineStr">
        <is>
          <t>Pembersihan &amp; perataan lahan</t>
        </is>
      </c>
      <c r="C6" t="inlineStr">
        <is>
          <t>m²</t>
        </is>
      </c>
      <c r="D6" s="18" t="n">
        <v>5000</v>
      </c>
      <c r="E6" s="19">
        <f>Volume!$C$5</f>
        <v/>
      </c>
      <c r="F6" s="7">
        <f>E6*$D6</f>
        <v/>
      </c>
      <c r="G6" s="19">
        <f>Volume!$D$5</f>
        <v/>
      </c>
      <c r="H6" s="7">
        <f>G6*$D6</f>
        <v/>
      </c>
      <c r="I6" s="19">
        <f>Volume!$E$5</f>
        <v/>
      </c>
      <c r="J6" s="7">
        <f>I6*$D6</f>
        <v/>
      </c>
      <c r="K6" s="2" t="inlineStr">
        <is>
          <t>Seluruh tanah</t>
        </is>
      </c>
    </row>
    <row r="7">
      <c r="A7" t="n">
        <v>2</v>
      </c>
      <c r="B7" t="inlineStr">
        <is>
          <t>Pengukuran &amp; bowplank</t>
        </is>
      </c>
      <c r="C7" t="inlineStr">
        <is>
          <t>m'</t>
        </is>
      </c>
      <c r="D7" s="18" t="n">
        <v>15000</v>
      </c>
      <c r="E7" s="19">
        <f>Volume!$C$42</f>
        <v/>
      </c>
      <c r="F7" s="7">
        <f>E7*$D7</f>
        <v/>
      </c>
      <c r="G7" s="19">
        <f>Volume!$D$42</f>
        <v/>
      </c>
      <c r="H7" s="7">
        <f>G7*$D7</f>
        <v/>
      </c>
      <c r="I7" s="19">
        <f>Volume!$E$42</f>
        <v/>
      </c>
      <c r="J7" s="7">
        <f>I7*$D7</f>
        <v/>
      </c>
      <c r="K7" s="2" t="inlineStr"/>
    </row>
    <row r="8">
      <c r="A8" t="n">
        <v>3</v>
      </c>
      <c r="B8" t="inlineStr">
        <is>
          <t>Gudang material &amp; los kerja sementara</t>
        </is>
      </c>
      <c r="C8" t="inlineStr">
        <is>
          <t>ls</t>
        </is>
      </c>
      <c r="D8" s="18" t="n">
        <v>2000000</v>
      </c>
      <c r="E8" s="19">
        <f>1</f>
        <v/>
      </c>
      <c r="F8" s="7">
        <f>E8*$D8</f>
        <v/>
      </c>
      <c r="G8" s="19">
        <f>1</f>
        <v/>
      </c>
      <c r="H8" s="7">
        <f>G8*$D8</f>
        <v/>
      </c>
      <c r="I8" s="19">
        <f>1</f>
        <v/>
      </c>
      <c r="J8" s="7">
        <f>I8*$D8</f>
        <v/>
      </c>
      <c r="K8" s="2" t="inlineStr"/>
    </row>
    <row r="9">
      <c r="A9" t="n">
        <v>4</v>
      </c>
      <c r="B9" t="inlineStr">
        <is>
          <t>Air &amp; listrik kerja</t>
        </is>
      </c>
      <c r="C9" t="inlineStr">
        <is>
          <t>ls</t>
        </is>
      </c>
      <c r="D9" s="18" t="n">
        <v>1500000</v>
      </c>
      <c r="E9" s="19">
        <f>1</f>
        <v/>
      </c>
      <c r="F9" s="7">
        <f>E9*$D9</f>
        <v/>
      </c>
      <c r="G9" s="19">
        <f>1</f>
        <v/>
      </c>
      <c r="H9" s="7">
        <f>G9*$D9</f>
        <v/>
      </c>
      <c r="I9" s="19">
        <f>1</f>
        <v/>
      </c>
      <c r="J9" s="7">
        <f>I9*$D9</f>
        <v/>
      </c>
      <c r="K9" s="2" t="inlineStr"/>
    </row>
    <row r="10">
      <c r="B10" s="5" t="inlineStr">
        <is>
          <t>Subtotal I</t>
        </is>
      </c>
      <c r="F10" s="20">
        <f>SUM(F6:F9)</f>
        <v/>
      </c>
      <c r="H10" s="20">
        <f>SUM(H6:H9)</f>
        <v/>
      </c>
      <c r="J10" s="20">
        <f>SUM(J6:J9)</f>
        <v/>
      </c>
    </row>
    <row r="12">
      <c r="A12" s="11" t="inlineStr">
        <is>
          <t>II</t>
        </is>
      </c>
      <c r="B12" s="11" t="inlineStr">
        <is>
          <t>PONDASI &amp; SLOOF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t="n">
        <v>1</v>
      </c>
      <c r="B13" t="inlineStr">
        <is>
          <t>Pondasi telapak/umpak beton bertulang 60×60 + pedestal 20×20 h 60 cm + angkur</t>
        </is>
      </c>
      <c r="C13" t="inlineStr">
        <is>
          <t>titik</t>
        </is>
      </c>
      <c r="D13" s="18" t="n">
        <v>750000</v>
      </c>
      <c r="E13" s="19">
        <f>Volume!$C$17</f>
        <v/>
      </c>
      <c r="F13" s="7">
        <f>E13*$D13</f>
        <v/>
      </c>
      <c r="G13" s="19">
        <f>Volume!$D$17</f>
        <v/>
      </c>
      <c r="H13" s="7">
        <f>G13*$D13</f>
        <v/>
      </c>
      <c r="I13" s="19">
        <f>Volume!$E$17</f>
        <v/>
      </c>
      <c r="J13" s="7">
        <f>I13*$D13</f>
        <v/>
      </c>
      <c r="K13" s="2" t="inlineStr">
        <is>
          <t>Beton K-225, besi D10–D12</t>
        </is>
      </c>
    </row>
    <row r="14">
      <c r="A14" t="n">
        <v>2</v>
      </c>
      <c r="B14" t="inlineStr">
        <is>
          <t>Sloof beton 15×20 cm bawah dinding</t>
        </is>
      </c>
      <c r="C14" t="inlineStr">
        <is>
          <t>m'</t>
        </is>
      </c>
      <c r="D14" s="18" t="n">
        <v>230000</v>
      </c>
      <c r="E14" s="19">
        <f>Volume!$C$25</f>
        <v/>
      </c>
      <c r="F14" s="7">
        <f>E14*$D14</f>
        <v/>
      </c>
      <c r="G14" s="19">
        <f>Volume!$D$25</f>
        <v/>
      </c>
      <c r="H14" s="7">
        <f>G14*$D14</f>
        <v/>
      </c>
      <c r="I14" s="19">
        <f>Volume!$E$25</f>
        <v/>
      </c>
      <c r="J14" s="7">
        <f>I14*$D14</f>
        <v/>
      </c>
      <c r="K14" s="2" t="inlineStr">
        <is>
          <t>4 D10, sengkang Ø8-15</t>
        </is>
      </c>
    </row>
    <row r="15">
      <c r="B15" s="5" t="inlineStr">
        <is>
          <t>Subtotal II</t>
        </is>
      </c>
      <c r="F15" s="20">
        <f>SUM(F13:F14)</f>
        <v/>
      </c>
      <c r="H15" s="20">
        <f>SUM(H13:H14)</f>
        <v/>
      </c>
      <c r="J15" s="20">
        <f>SUM(J13:J14)</f>
        <v/>
      </c>
    </row>
    <row r="17">
      <c r="A17" s="11" t="inlineStr">
        <is>
          <t>III</t>
        </is>
      </c>
      <c r="B17" s="11" t="inlineStr">
        <is>
          <t>LANTAI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t="n">
        <v>1</v>
      </c>
      <c r="B18" t="inlineStr">
        <is>
          <t>Urugan pasir bawah lantai t = 10 cm</t>
        </is>
      </c>
      <c r="C18" t="inlineStr">
        <is>
          <t>m³</t>
        </is>
      </c>
      <c r="D18" s="18" t="n">
        <v>300000</v>
      </c>
      <c r="E18" s="19">
        <f>Volume!$C$26</f>
        <v/>
      </c>
      <c r="F18" s="7">
        <f>E18*$D18</f>
        <v/>
      </c>
      <c r="G18" s="19">
        <f>Volume!$D$26</f>
        <v/>
      </c>
      <c r="H18" s="7">
        <f>G18*$D18</f>
        <v/>
      </c>
      <c r="I18" s="19">
        <f>Volume!$E$26</f>
        <v/>
      </c>
      <c r="J18" s="7">
        <f>I18*$D18</f>
        <v/>
      </c>
      <c r="K18" s="2" t="inlineStr">
        <is>
          <t>Dipadatkan</t>
        </is>
      </c>
    </row>
    <row r="19">
      <c r="A19" t="n">
        <v>2</v>
      </c>
      <c r="B19" t="inlineStr">
        <is>
          <t>Lantai rabat beton t = 8 cm + wiremesh M6</t>
        </is>
      </c>
      <c r="C19" t="inlineStr">
        <is>
          <t>m²</t>
        </is>
      </c>
      <c r="D19" s="18" t="n">
        <v>185000</v>
      </c>
      <c r="E19" s="19">
        <f>Volume!$C$27</f>
        <v/>
      </c>
      <c r="F19" s="7">
        <f>E19*$D19</f>
        <v/>
      </c>
      <c r="G19" s="19">
        <f>Volume!$D$27</f>
        <v/>
      </c>
      <c r="H19" s="7">
        <f>G19*$D19</f>
        <v/>
      </c>
      <c r="I19" s="19">
        <f>Volume!$E$27</f>
        <v/>
      </c>
      <c r="J19" s="7">
        <f>I19*$D19</f>
        <v/>
      </c>
      <c r="K19" s="2" t="inlineStr">
        <is>
          <t>Beton K-175, kemiringan ke saluran</t>
        </is>
      </c>
    </row>
    <row r="20">
      <c r="A20" t="n">
        <v>3</v>
      </c>
      <c r="B20" t="inlineStr">
        <is>
          <t>Keramik lantai 60×60 (dalam)</t>
        </is>
      </c>
      <c r="C20" t="inlineStr">
        <is>
          <t>m²</t>
        </is>
      </c>
      <c r="D20" s="18" t="n">
        <v>175000</v>
      </c>
      <c r="E20" s="19">
        <f>Volume!$C$28</f>
        <v/>
      </c>
      <c r="F20" s="7">
        <f>E20*$D20</f>
        <v/>
      </c>
      <c r="G20" s="19">
        <f>Volume!$D$28</f>
        <v/>
      </c>
      <c r="H20" s="7">
        <f>G20*$D20</f>
        <v/>
      </c>
      <c r="I20" s="19">
        <f>Volume!$E$28</f>
        <v/>
      </c>
      <c r="J20" s="7">
        <f>I20*$D20</f>
        <v/>
      </c>
      <c r="K20" s="2" t="inlineStr">
        <is>
          <t>Permukaan tidak licin</t>
        </is>
      </c>
    </row>
    <row r="21">
      <c r="A21" t="n">
        <v>4</v>
      </c>
      <c r="B21" t="inlineStr">
        <is>
          <t>Floor hardener / acian lantai</t>
        </is>
      </c>
      <c r="C21" t="inlineStr">
        <is>
          <t>m²</t>
        </is>
      </c>
      <c r="D21" s="18" t="n">
        <v>55000</v>
      </c>
      <c r="E21" s="19">
        <f>Volume!$C$29</f>
        <v/>
      </c>
      <c r="F21" s="7">
        <f>E21*$D21</f>
        <v/>
      </c>
      <c r="G21" s="19">
        <f>Volume!$D$29</f>
        <v/>
      </c>
      <c r="H21" s="7">
        <f>G21*$D21</f>
        <v/>
      </c>
      <c r="I21" s="19">
        <f>Volume!$E$29</f>
        <v/>
      </c>
      <c r="J21" s="7">
        <f>I21*$D21</f>
        <v/>
      </c>
      <c r="K21" s="2" t="inlineStr">
        <is>
          <t>Teras &amp; dalam bila tanpa keramik</t>
        </is>
      </c>
    </row>
    <row r="22">
      <c r="A22" t="n">
        <v>5</v>
      </c>
      <c r="B22" t="inlineStr">
        <is>
          <t>Keramik dinding toilet h = 1,5 m</t>
        </is>
      </c>
      <c r="C22" t="inlineStr">
        <is>
          <t>m²</t>
        </is>
      </c>
      <c r="D22" s="18" t="n">
        <v>190000</v>
      </c>
      <c r="E22" s="19">
        <f>Volume!$C$30</f>
        <v/>
      </c>
      <c r="F22" s="7">
        <f>E22*$D22</f>
        <v/>
      </c>
      <c r="G22" s="19">
        <f>Volume!$D$30</f>
        <v/>
      </c>
      <c r="H22" s="7">
        <f>G22*$D22</f>
        <v/>
      </c>
      <c r="I22" s="19">
        <f>Volume!$E$30</f>
        <v/>
      </c>
      <c r="J22" s="7">
        <f>I22*$D22</f>
        <v/>
      </c>
      <c r="K22" s="2" t="inlineStr"/>
    </row>
    <row r="23">
      <c r="A23" t="n">
        <v>6</v>
      </c>
      <c r="B23" t="inlineStr">
        <is>
          <t>Parkir sirtu dipadatkan t = 10 cm</t>
        </is>
      </c>
      <c r="C23" t="inlineStr">
        <is>
          <t>m²</t>
        </is>
      </c>
      <c r="D23" s="18" t="n">
        <v>45000</v>
      </c>
      <c r="E23" s="19">
        <f>Input!$C$29</f>
        <v/>
      </c>
      <c r="F23" s="7">
        <f>E23*$D23</f>
        <v/>
      </c>
      <c r="G23" s="19">
        <f>Input!$D$29</f>
        <v/>
      </c>
      <c r="H23" s="7">
        <f>G23*$D23</f>
        <v/>
      </c>
      <c r="I23" s="19">
        <f>Input!$E$29</f>
        <v/>
      </c>
      <c r="J23" s="7">
        <f>I23*$D23</f>
        <v/>
      </c>
      <c r="K23" s="2" t="inlineStr">
        <is>
          <t>Bisa diganti paving di tahap berikutnya</t>
        </is>
      </c>
    </row>
    <row r="24">
      <c r="B24" s="5" t="inlineStr">
        <is>
          <t>Subtotal III</t>
        </is>
      </c>
      <c r="F24" s="20">
        <f>SUM(F18:F23)</f>
        <v/>
      </c>
      <c r="H24" s="20">
        <f>SUM(H18:H23)</f>
        <v/>
      </c>
      <c r="J24" s="20">
        <f>SUM(J18:J23)</f>
        <v/>
      </c>
    </row>
    <row r="26">
      <c r="A26" s="11" t="inlineStr">
        <is>
          <t>IV</t>
        </is>
      </c>
      <c r="B26" s="11" t="inlineStr">
        <is>
          <t>STRUKTUR BAJA (kolom &amp; ring balk)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t="n">
        <v>1</v>
      </c>
      <c r="B27" t="inlineStr">
        <is>
          <t>Kolom hollow galvanis 100×100×2,0 mm (batang 6 m)</t>
        </is>
      </c>
      <c r="C27" t="inlineStr">
        <is>
          <t>batang</t>
        </is>
      </c>
      <c r="D27" s="18" t="n">
        <v>520000</v>
      </c>
      <c r="E27" s="19">
        <f>Volume!$C$17</f>
        <v/>
      </c>
      <c r="F27" s="7">
        <f>E27*$D27</f>
        <v/>
      </c>
      <c r="G27" s="19">
        <f>Volume!$D$17</f>
        <v/>
      </c>
      <c r="H27" s="7">
        <f>G27*$D27</f>
        <v/>
      </c>
      <c r="I27" s="19">
        <f>Volume!$E$17</f>
        <v/>
      </c>
      <c r="J27" s="7">
        <f>I27*$D27</f>
        <v/>
      </c>
      <c r="K27" s="2" t="inlineStr">
        <is>
          <t>Kolom utama: jangan pakai kanal C baja ringan</t>
        </is>
      </c>
    </row>
    <row r="28">
      <c r="A28" t="n">
        <v>2</v>
      </c>
      <c r="B28" t="inlineStr">
        <is>
          <t>Base plate + angkur + las per kolom</t>
        </is>
      </c>
      <c r="C28" t="inlineStr">
        <is>
          <t>titik</t>
        </is>
      </c>
      <c r="D28" s="18" t="n">
        <v>150000</v>
      </c>
      <c r="E28" s="19">
        <f>Volume!$C$17</f>
        <v/>
      </c>
      <c r="F28" s="7">
        <f>E28*$D28</f>
        <v/>
      </c>
      <c r="G28" s="19">
        <f>Volume!$D$17</f>
        <v/>
      </c>
      <c r="H28" s="7">
        <f>G28*$D28</f>
        <v/>
      </c>
      <c r="I28" s="19">
        <f>Volume!$E$17</f>
        <v/>
      </c>
      <c r="J28" s="7">
        <f>I28*$D28</f>
        <v/>
      </c>
      <c r="K28" s="2" t="inlineStr">
        <is>
          <t>Plat 8 mm, angkur 4 × M12</t>
        </is>
      </c>
    </row>
    <row r="29">
      <c r="A29" t="n">
        <v>3</v>
      </c>
      <c r="B29" t="inlineStr">
        <is>
          <t>Ring balk hollow galvanis 50×100×2,0 mm (batang 6 m)</t>
        </is>
      </c>
      <c r="C29" t="inlineStr">
        <is>
          <t>batang</t>
        </is>
      </c>
      <c r="D29" s="18" t="n">
        <v>420000</v>
      </c>
      <c r="E29" s="19">
        <f>Volume!$C$19</f>
        <v/>
      </c>
      <c r="F29" s="7">
        <f>E29*$D29</f>
        <v/>
      </c>
      <c r="G29" s="19">
        <f>Volume!$D$19</f>
        <v/>
      </c>
      <c r="H29" s="7">
        <f>G29*$D29</f>
        <v/>
      </c>
      <c r="I29" s="19">
        <f>Volume!$E$19</f>
        <v/>
      </c>
      <c r="J29" s="7">
        <f>I29*$D29</f>
        <v/>
      </c>
      <c r="K29" s="2" t="inlineStr">
        <is>
          <t>Dudukan rangka atap &amp; dinding</t>
        </is>
      </c>
    </row>
    <row r="30">
      <c r="A30" t="n">
        <v>4</v>
      </c>
      <c r="B30" t="inlineStr">
        <is>
          <t>Upah pasang &amp; las struktur</t>
        </is>
      </c>
      <c r="C30" t="inlineStr">
        <is>
          <t>m²</t>
        </is>
      </c>
      <c r="D30" s="18" t="n">
        <v>60000</v>
      </c>
      <c r="E30" s="19">
        <f>Volume!$C$13</f>
        <v/>
      </c>
      <c r="F30" s="7">
        <f>E30*$D30</f>
        <v/>
      </c>
      <c r="G30" s="19">
        <f>Volume!$D$13</f>
        <v/>
      </c>
      <c r="H30" s="7">
        <f>G30*$D30</f>
        <v/>
      </c>
      <c r="I30" s="19">
        <f>Volume!$E$13</f>
        <v/>
      </c>
      <c r="J30" s="7">
        <f>I30*$D30</f>
        <v/>
      </c>
      <c r="K30" s="2" t="inlineStr">
        <is>
          <t>Per m² proyeksi atap</t>
        </is>
      </c>
    </row>
    <row r="31">
      <c r="A31" t="n">
        <v>5</v>
      </c>
      <c r="B31" t="inlineStr">
        <is>
          <t>Cat zinc chromate anti karat titik las</t>
        </is>
      </c>
      <c r="C31" t="inlineStr">
        <is>
          <t>ls</t>
        </is>
      </c>
      <c r="D31" s="18" t="n">
        <v>750000</v>
      </c>
      <c r="E31" s="19">
        <f>1</f>
        <v/>
      </c>
      <c r="F31" s="7">
        <f>E31*$D31</f>
        <v/>
      </c>
      <c r="G31" s="19">
        <f>1</f>
        <v/>
      </c>
      <c r="H31" s="7">
        <f>G31*$D31</f>
        <v/>
      </c>
      <c r="I31" s="19">
        <f>1</f>
        <v/>
      </c>
      <c r="J31" s="7">
        <f>I31*$D31</f>
        <v/>
      </c>
      <c r="K31" s="2" t="inlineStr"/>
    </row>
    <row r="32">
      <c r="B32" s="5" t="inlineStr">
        <is>
          <t>Subtotal IV</t>
        </is>
      </c>
      <c r="F32" s="20">
        <f>SUM(F27:F31)</f>
        <v/>
      </c>
      <c r="H32" s="20">
        <f>SUM(H27:H31)</f>
        <v/>
      </c>
      <c r="J32" s="20">
        <f>SUM(J27:J31)</f>
        <v/>
      </c>
    </row>
    <row r="34">
      <c r="A34" s="11" t="inlineStr">
        <is>
          <t>V</t>
        </is>
      </c>
      <c r="B34" s="11" t="inlineStr">
        <is>
          <t>ATAP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t="n">
        <v>1</v>
      </c>
      <c r="B35" t="inlineStr">
        <is>
          <t>Rangka atap baja ringan C75 + reng (borongan)</t>
        </is>
      </c>
      <c r="C35" t="inlineStr">
        <is>
          <t>m²</t>
        </is>
      </c>
      <c r="D35" s="18" t="n">
        <v>170000</v>
      </c>
      <c r="E35" s="19">
        <f>Volume!$C$14</f>
        <v/>
      </c>
      <c r="F35" s="7">
        <f>E35*$D35</f>
        <v/>
      </c>
      <c r="G35" s="19">
        <f>Volume!$D$14</f>
        <v/>
      </c>
      <c r="H35" s="7">
        <f>G35*$D35</f>
        <v/>
      </c>
      <c r="I35" s="19">
        <f>Volume!$E$14</f>
        <v/>
      </c>
      <c r="J35" s="7">
        <f>I35*$D35</f>
        <v/>
      </c>
      <c r="K35" s="2" t="inlineStr">
        <is>
          <t>Kuda-kuda jarak ≤ 1,2 m, minta gambar &amp; garansi aplikator</t>
        </is>
      </c>
    </row>
    <row r="36">
      <c r="A36" t="n">
        <v>2</v>
      </c>
      <c r="B36" t="inlineStr">
        <is>
          <t>Penutup atap spandek pasir 0,35 mm TCT</t>
        </is>
      </c>
      <c r="C36" t="inlineStr">
        <is>
          <t>m²</t>
        </is>
      </c>
      <c r="D36" s="18" t="n">
        <v>100000</v>
      </c>
      <c r="E36" s="19">
        <f>Volume!$C$14</f>
        <v/>
      </c>
      <c r="F36" s="7">
        <f>E36*$D36</f>
        <v/>
      </c>
      <c r="G36" s="19">
        <f>Volume!$D$14</f>
        <v/>
      </c>
      <c r="H36" s="7">
        <f>G36*$D36</f>
        <v/>
      </c>
      <c r="I36" s="19">
        <f>Volume!$E$14</f>
        <v/>
      </c>
      <c r="J36" s="7">
        <f>I36*$D36</f>
        <v/>
      </c>
      <c r="K36" s="2" t="inlineStr">
        <is>
          <t>Spandek pasir meredam bunyi hujan</t>
        </is>
      </c>
    </row>
    <row r="37">
      <c r="A37" t="n">
        <v>3</v>
      </c>
      <c r="B37" t="inlineStr">
        <is>
          <t>Insulasi aluminium foil 2 sisi</t>
        </is>
      </c>
      <c r="C37" t="inlineStr">
        <is>
          <t>m²</t>
        </is>
      </c>
      <c r="D37" s="18" t="n">
        <v>20000</v>
      </c>
      <c r="E37" s="19">
        <f>Volume!$C$14</f>
        <v/>
      </c>
      <c r="F37" s="7">
        <f>E37*$D37</f>
        <v/>
      </c>
      <c r="G37" s="19">
        <f>Volume!$D$14</f>
        <v/>
      </c>
      <c r="H37" s="7">
        <f>G37*$D37</f>
        <v/>
      </c>
      <c r="I37" s="19">
        <f>Volume!$E$14</f>
        <v/>
      </c>
      <c r="J37" s="7">
        <f>I37*$D37</f>
        <v/>
      </c>
      <c r="K37" s="2" t="inlineStr">
        <is>
          <t>Meredam panas</t>
        </is>
      </c>
    </row>
    <row r="38">
      <c r="A38" t="n">
        <v>4</v>
      </c>
      <c r="B38" t="inlineStr">
        <is>
          <t>Nok/bubungan</t>
        </is>
      </c>
      <c r="C38" t="inlineStr">
        <is>
          <t>m'</t>
        </is>
      </c>
      <c r="D38" s="18" t="n">
        <v>75000</v>
      </c>
      <c r="E38" s="19">
        <f>Volume!$C$20</f>
        <v/>
      </c>
      <c r="F38" s="7">
        <f>E38*$D38</f>
        <v/>
      </c>
      <c r="G38" s="19">
        <f>Volume!$D$20</f>
        <v/>
      </c>
      <c r="H38" s="7">
        <f>G38*$D38</f>
        <v/>
      </c>
      <c r="I38" s="19">
        <f>Volume!$E$20</f>
        <v/>
      </c>
      <c r="J38" s="7">
        <f>I38*$D38</f>
        <v/>
      </c>
      <c r="K38" s="2" t="inlineStr"/>
    </row>
    <row r="39">
      <c r="A39" t="n">
        <v>5</v>
      </c>
      <c r="B39" t="inlineStr">
        <is>
          <t>Lisplang GRC 20 cm + cat</t>
        </is>
      </c>
      <c r="C39" t="inlineStr">
        <is>
          <t>m'</t>
        </is>
      </c>
      <c r="D39" s="18" t="n">
        <v>85000</v>
      </c>
      <c r="E39" s="19">
        <f>Volume!$C$21</f>
        <v/>
      </c>
      <c r="F39" s="7">
        <f>E39*$D39</f>
        <v/>
      </c>
      <c r="G39" s="19">
        <f>Volume!$D$21</f>
        <v/>
      </c>
      <c r="H39" s="7">
        <f>G39*$D39</f>
        <v/>
      </c>
      <c r="I39" s="19">
        <f>Volume!$E$21</f>
        <v/>
      </c>
      <c r="J39" s="7">
        <f>I39*$D39</f>
        <v/>
      </c>
      <c r="K39" s="2" t="inlineStr"/>
    </row>
    <row r="40">
      <c r="A40" t="n">
        <v>6</v>
      </c>
      <c r="B40" t="inlineStr">
        <is>
          <t>Talang + pipa turun</t>
        </is>
      </c>
      <c r="C40" t="inlineStr">
        <is>
          <t>m'</t>
        </is>
      </c>
      <c r="D40" s="18" t="n">
        <v>120000</v>
      </c>
      <c r="E40" s="19">
        <f>Volume!$C$22</f>
        <v/>
      </c>
      <c r="F40" s="7">
        <f>E40*$D40</f>
        <v/>
      </c>
      <c r="G40" s="19">
        <f>Volume!$D$22</f>
        <v/>
      </c>
      <c r="H40" s="7">
        <f>G40*$D40</f>
        <v/>
      </c>
      <c r="I40" s="19">
        <f>Volume!$E$22</f>
        <v/>
      </c>
      <c r="J40" s="7">
        <f>I40*$D40</f>
        <v/>
      </c>
      <c r="K40" s="2" t="inlineStr"/>
    </row>
    <row r="41">
      <c r="B41" s="5" t="inlineStr">
        <is>
          <t>Subtotal V</t>
        </is>
      </c>
      <c r="F41" s="20">
        <f>SUM(F35:F40)</f>
        <v/>
      </c>
      <c r="H41" s="20">
        <f>SUM(H35:H40)</f>
        <v/>
      </c>
      <c r="J41" s="20">
        <f>SUM(J35:J40)</f>
        <v/>
      </c>
    </row>
    <row r="43">
      <c r="A43" s="11" t="inlineStr">
        <is>
          <t>VI</t>
        </is>
      </c>
      <c r="B43" s="11" t="inlineStr">
        <is>
          <t>DINDING PARTISI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t="n">
        <v>1</v>
      </c>
      <c r="B44" t="inlineStr">
        <is>
          <t>Dinding luar: rangka hollow 40×40 + GRC 8 mm luar &amp; GRC 6 mm dalam</t>
        </is>
      </c>
      <c r="C44" t="inlineStr">
        <is>
          <t>m²</t>
        </is>
      </c>
      <c r="D44" s="18" t="n">
        <v>235000</v>
      </c>
      <c r="E44" s="19">
        <f>Volume!$C$33</f>
        <v/>
      </c>
      <c r="F44" s="7">
        <f>E44*$D44</f>
        <v/>
      </c>
      <c r="G44" s="19">
        <f>Volume!$D$33</f>
        <v/>
      </c>
      <c r="H44" s="7">
        <f>G44*$D44</f>
        <v/>
      </c>
      <c r="I44" s="19">
        <f>Volume!$E$33</f>
        <v/>
      </c>
      <c r="J44" s="7">
        <f>I44*$D44</f>
        <v/>
      </c>
      <c r="K44" s="2" t="inlineStr">
        <is>
          <t>Rangka jarak 60 cm, sambungan diberi kompon + kasa</t>
        </is>
      </c>
    </row>
    <row r="45">
      <c r="A45" t="n">
        <v>2</v>
      </c>
      <c r="B45" t="inlineStr">
        <is>
          <t>Partisi dalam: rangka hollow 40×40 + GRC 6 mm dua sisi</t>
        </is>
      </c>
      <c r="C45" t="inlineStr">
        <is>
          <t>m²</t>
        </is>
      </c>
      <c r="D45" s="18" t="n">
        <v>200000</v>
      </c>
      <c r="E45" s="19">
        <f>Volume!$C$34</f>
        <v/>
      </c>
      <c r="F45" s="7">
        <f>E45*$D45</f>
        <v/>
      </c>
      <c r="G45" s="19">
        <f>Volume!$D$34</f>
        <v/>
      </c>
      <c r="H45" s="7">
        <f>G45*$D45</f>
        <v/>
      </c>
      <c r="I45" s="19">
        <f>Volume!$E$34</f>
        <v/>
      </c>
      <c r="J45" s="7">
        <f>I45*$D45</f>
        <v/>
      </c>
      <c r="K45" s="2" t="inlineStr"/>
    </row>
    <row r="46">
      <c r="A46" t="n">
        <v>3</v>
      </c>
      <c r="B46" t="inlineStr">
        <is>
          <t>Dinding toilet bata ringan 7,5 cm + plester aci</t>
        </is>
      </c>
      <c r="C46" t="inlineStr">
        <is>
          <t>m²</t>
        </is>
      </c>
      <c r="D46" s="18" t="n">
        <v>230000</v>
      </c>
      <c r="E46" s="19">
        <f>Volume!$C$35</f>
        <v/>
      </c>
      <c r="F46" s="7">
        <f>E46*$D46</f>
        <v/>
      </c>
      <c r="G46" s="19">
        <f>Volume!$D$35</f>
        <v/>
      </c>
      <c r="H46" s="7">
        <f>G46*$D46</f>
        <v/>
      </c>
      <c r="I46" s="19">
        <f>Volume!$E$35</f>
        <v/>
      </c>
      <c r="J46" s="7">
        <f>I46*$D46</f>
        <v/>
      </c>
      <c r="K46" s="2" t="inlineStr">
        <is>
          <t>Area basah jangan pakai papan</t>
        </is>
      </c>
    </row>
    <row r="47">
      <c r="A47" t="n">
        <v>4</v>
      </c>
      <c r="B47" t="inlineStr">
        <is>
          <t>Waterproofing toilet</t>
        </is>
      </c>
      <c r="C47" t="inlineStr">
        <is>
          <t>m²</t>
        </is>
      </c>
      <c r="D47" s="18" t="n">
        <v>85000</v>
      </c>
      <c r="E47" s="19">
        <f>Volume!$C$36</f>
        <v/>
      </c>
      <c r="F47" s="7">
        <f>E47*$D47</f>
        <v/>
      </c>
      <c r="G47" s="19">
        <f>Volume!$D$36</f>
        <v/>
      </c>
      <c r="H47" s="7">
        <f>G47*$D47</f>
        <v/>
      </c>
      <c r="I47" s="19">
        <f>Volume!$E$36</f>
        <v/>
      </c>
      <c r="J47" s="7">
        <f>I47*$D47</f>
        <v/>
      </c>
      <c r="K47" s="2" t="inlineStr">
        <is>
          <t>Coating semen, naik 30 cm di dinding</t>
        </is>
      </c>
    </row>
    <row r="48">
      <c r="A48" t="n">
        <v>5</v>
      </c>
      <c r="B48" t="inlineStr">
        <is>
          <t>Kompon + cat interior</t>
        </is>
      </c>
      <c r="C48" t="inlineStr">
        <is>
          <t>m²</t>
        </is>
      </c>
      <c r="D48" s="18" t="n">
        <v>40000</v>
      </c>
      <c r="E48" s="19">
        <f>Volume!$C$37</f>
        <v/>
      </c>
      <c r="F48" s="7">
        <f>E48*$D48</f>
        <v/>
      </c>
      <c r="G48" s="19">
        <f>Volume!$D$37</f>
        <v/>
      </c>
      <c r="H48" s="7">
        <f>G48*$D48</f>
        <v/>
      </c>
      <c r="I48" s="19">
        <f>Volume!$E$37</f>
        <v/>
      </c>
      <c r="J48" s="7">
        <f>I48*$D48</f>
        <v/>
      </c>
      <c r="K48" s="2" t="inlineStr"/>
    </row>
    <row r="49">
      <c r="A49" t="n">
        <v>6</v>
      </c>
      <c r="B49" t="inlineStr">
        <is>
          <t>Cat eksterior tahan cuaca</t>
        </is>
      </c>
      <c r="C49" t="inlineStr">
        <is>
          <t>m²</t>
        </is>
      </c>
      <c r="D49" s="18" t="n">
        <v>50000</v>
      </c>
      <c r="E49" s="19">
        <f>Volume!$C$38</f>
        <v/>
      </c>
      <c r="F49" s="7">
        <f>E49*$D49</f>
        <v/>
      </c>
      <c r="G49" s="19">
        <f>Volume!$D$38</f>
        <v/>
      </c>
      <c r="H49" s="7">
        <f>G49*$D49</f>
        <v/>
      </c>
      <c r="I49" s="19">
        <f>Volume!$E$38</f>
        <v/>
      </c>
      <c r="J49" s="7">
        <f>I49*$D49</f>
        <v/>
      </c>
      <c r="K49" s="2" t="inlineStr"/>
    </row>
    <row r="50">
      <c r="A50" t="n">
        <v>7</v>
      </c>
      <c r="B50" t="inlineStr">
        <is>
          <t>Railing/pagar rendah teras besi hollow h 1 m</t>
        </is>
      </c>
      <c r="C50" t="inlineStr">
        <is>
          <t>m'</t>
        </is>
      </c>
      <c r="D50" s="18" t="n">
        <v>350000</v>
      </c>
      <c r="E50" s="19">
        <f>Input!$C$28</f>
        <v/>
      </c>
      <c r="F50" s="7">
        <f>E50*$D50</f>
        <v/>
      </c>
      <c r="G50" s="19">
        <f>Input!$D$28</f>
        <v/>
      </c>
      <c r="H50" s="7">
        <f>G50*$D50</f>
        <v/>
      </c>
      <c r="I50" s="19">
        <f>Input!$E$28</f>
        <v/>
      </c>
      <c r="J50" s="7">
        <f>I50*$D50</f>
        <v/>
      </c>
      <c r="K50" s="2" t="inlineStr"/>
    </row>
    <row r="51">
      <c r="B51" s="5" t="inlineStr">
        <is>
          <t>Subtotal VI</t>
        </is>
      </c>
      <c r="F51" s="20">
        <f>SUM(F44:F50)</f>
        <v/>
      </c>
      <c r="H51" s="20">
        <f>SUM(H44:H50)</f>
        <v/>
      </c>
      <c r="J51" s="20">
        <f>SUM(J44:J50)</f>
        <v/>
      </c>
    </row>
    <row r="53">
      <c r="A53" s="11" t="inlineStr">
        <is>
          <t>VII</t>
        </is>
      </c>
      <c r="B53" s="11" t="inlineStr">
        <is>
          <t>PLAFON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t="n">
        <v>1</v>
      </c>
      <c r="B54" t="inlineStr">
        <is>
          <t>Plafon PVC/GRC 3,5 mm + rangka hollow</t>
        </is>
      </c>
      <c r="C54" t="inlineStr">
        <is>
          <t>m²</t>
        </is>
      </c>
      <c r="D54" s="18" t="n">
        <v>125000</v>
      </c>
      <c r="E54" s="19">
        <f>Volume!$C$39</f>
        <v/>
      </c>
      <c r="F54" s="7">
        <f>E54*$D54</f>
        <v/>
      </c>
      <c r="G54" s="19">
        <f>Volume!$D$39</f>
        <v/>
      </c>
      <c r="H54" s="7">
        <f>G54*$D54</f>
        <v/>
      </c>
      <c r="I54" s="19">
        <f>Volume!$E$39</f>
        <v/>
      </c>
      <c r="J54" s="7">
        <f>I54*$D54</f>
        <v/>
      </c>
      <c r="K54" s="2" t="inlineStr"/>
    </row>
    <row r="55">
      <c r="B55" s="5" t="inlineStr">
        <is>
          <t>Subtotal VII</t>
        </is>
      </c>
      <c r="F55" s="20">
        <f>SUM(F54:F54)</f>
        <v/>
      </c>
      <c r="H55" s="20">
        <f>SUM(H54:H54)</f>
        <v/>
      </c>
      <c r="J55" s="20">
        <f>SUM(J54:J54)</f>
        <v/>
      </c>
    </row>
    <row r="57">
      <c r="A57" s="11" t="inlineStr">
        <is>
          <t>VIII</t>
        </is>
      </c>
      <c r="B57" s="11" t="inlineStr">
        <is>
          <t>PINTU &amp; JENDELA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t="n">
        <v>1</v>
      </c>
      <c r="B58" t="inlineStr">
        <is>
          <t>Rolling door galvalum (depan)</t>
        </is>
      </c>
      <c r="C58" t="inlineStr">
        <is>
          <t>m²</t>
        </is>
      </c>
      <c r="D58" s="18" t="n">
        <v>450000</v>
      </c>
      <c r="E58" s="19">
        <f>Volume!$C$40</f>
        <v/>
      </c>
      <c r="F58" s="7">
        <f>E58*$D58</f>
        <v/>
      </c>
      <c r="G58" s="19">
        <f>Volume!$D$40</f>
        <v/>
      </c>
      <c r="H58" s="7">
        <f>G58*$D58</f>
        <v/>
      </c>
      <c r="I58" s="19">
        <f>Volume!$E$40</f>
        <v/>
      </c>
      <c r="J58" s="7">
        <f>I58*$D58</f>
        <v/>
      </c>
      <c r="K58" s="2" t="inlineStr">
        <is>
          <t>Keamanan malam hari</t>
        </is>
      </c>
    </row>
    <row r="59">
      <c r="A59" t="n">
        <v>2</v>
      </c>
      <c r="B59" t="inlineStr">
        <is>
          <t>Jendela aluminium kaca 100×120</t>
        </is>
      </c>
      <c r="C59" t="inlineStr">
        <is>
          <t>unit</t>
        </is>
      </c>
      <c r="D59" s="18" t="n">
        <v>1250000</v>
      </c>
      <c r="E59" s="19">
        <f>Input!$C$23</f>
        <v/>
      </c>
      <c r="F59" s="7">
        <f>E59*$D59</f>
        <v/>
      </c>
      <c r="G59" s="19">
        <f>Input!$D$23</f>
        <v/>
      </c>
      <c r="H59" s="7">
        <f>G59*$D59</f>
        <v/>
      </c>
      <c r="I59" s="19">
        <f>Input!$E$23</f>
        <v/>
      </c>
      <c r="J59" s="7">
        <f>I59*$D59</f>
        <v/>
      </c>
      <c r="K59" s="2" t="inlineStr">
        <is>
          <t>Dengan teralis tipis</t>
        </is>
      </c>
    </row>
    <row r="60">
      <c r="A60" t="n">
        <v>3</v>
      </c>
      <c r="B60" t="inlineStr">
        <is>
          <t>Pintu toilet PVC + kusen</t>
        </is>
      </c>
      <c r="C60" t="inlineStr">
        <is>
          <t>unit</t>
        </is>
      </c>
      <c r="D60" s="18" t="n">
        <v>850000</v>
      </c>
      <c r="E60" s="19">
        <f>Input!$C$13</f>
        <v/>
      </c>
      <c r="F60" s="7">
        <f>E60*$D60</f>
        <v/>
      </c>
      <c r="G60" s="19">
        <f>Input!$D$13</f>
        <v/>
      </c>
      <c r="H60" s="7">
        <f>G60*$D60</f>
        <v/>
      </c>
      <c r="I60" s="19">
        <f>Input!$E$13</f>
        <v/>
      </c>
      <c r="J60" s="7">
        <f>I60*$D60</f>
        <v/>
      </c>
      <c r="K60" s="2" t="inlineStr"/>
    </row>
    <row r="61">
      <c r="A61" t="n">
        <v>4</v>
      </c>
      <c r="B61" t="inlineStr">
        <is>
          <t>Pintu dalam panel + kusen aluminium</t>
        </is>
      </c>
      <c r="C61" t="inlineStr">
        <is>
          <t>unit</t>
        </is>
      </c>
      <c r="D61" s="18" t="n">
        <v>1500000</v>
      </c>
      <c r="E61" s="19">
        <f>Input!$C$24</f>
        <v/>
      </c>
      <c r="F61" s="7">
        <f>E61*$D61</f>
        <v/>
      </c>
      <c r="G61" s="19">
        <f>Input!$D$24</f>
        <v/>
      </c>
      <c r="H61" s="7">
        <f>G61*$D61</f>
        <v/>
      </c>
      <c r="I61" s="19">
        <f>Input!$E$24</f>
        <v/>
      </c>
      <c r="J61" s="7">
        <f>I61*$D61</f>
        <v/>
      </c>
      <c r="K61" s="2" t="inlineStr"/>
    </row>
    <row r="62">
      <c r="A62" t="n">
        <v>5</v>
      </c>
      <c r="B62" t="inlineStr">
        <is>
          <t>Pintu belakang/servis + kunci</t>
        </is>
      </c>
      <c r="C62" t="inlineStr">
        <is>
          <t>unit</t>
        </is>
      </c>
      <c r="D62" s="18" t="n">
        <v>1800000</v>
      </c>
      <c r="E62" s="19">
        <f>Input!$C$25</f>
        <v/>
      </c>
      <c r="F62" s="7">
        <f>E62*$D62</f>
        <v/>
      </c>
      <c r="G62" s="19">
        <f>Input!$D$25</f>
        <v/>
      </c>
      <c r="H62" s="7">
        <f>G62*$D62</f>
        <v/>
      </c>
      <c r="I62" s="19">
        <f>Input!$E$25</f>
        <v/>
      </c>
      <c r="J62" s="7">
        <f>I62*$D62</f>
        <v/>
      </c>
      <c r="K62" s="2" t="inlineStr"/>
    </row>
    <row r="63">
      <c r="B63" s="5" t="inlineStr">
        <is>
          <t>Subtotal VIII</t>
        </is>
      </c>
      <c r="F63" s="20">
        <f>SUM(F58:F62)</f>
        <v/>
      </c>
      <c r="H63" s="20">
        <f>SUM(H58:H62)</f>
        <v/>
      </c>
      <c r="J63" s="20">
        <f>SUM(J58:J62)</f>
        <v/>
      </c>
    </row>
    <row r="65">
      <c r="A65" s="11" t="inlineStr">
        <is>
          <t>IX</t>
        </is>
      </c>
      <c r="B65" s="11" t="inlineStr">
        <is>
          <t>AIR &amp; SANITASI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>
      <c r="A66" t="n">
        <v>1</v>
      </c>
      <c r="B66" t="inlineStr">
        <is>
          <t>Sumur bor dangkal + pompa air</t>
        </is>
      </c>
      <c r="C66" t="inlineStr">
        <is>
          <t>ls</t>
        </is>
      </c>
      <c r="D66" s="18" t="n">
        <v>5500000</v>
      </c>
      <c r="E66" s="19">
        <f>Input!$C$36</f>
        <v/>
      </c>
      <c r="F66" s="7">
        <f>E66*$D66</f>
        <v/>
      </c>
      <c r="G66" s="19">
        <f>Input!$D$36</f>
        <v/>
      </c>
      <c r="H66" s="7">
        <f>G66*$D66</f>
        <v/>
      </c>
      <c r="I66" s="19">
        <f>Input!$E$36</f>
        <v/>
      </c>
      <c r="J66" s="7">
        <f>I66*$D66</f>
        <v/>
      </c>
      <c r="K66" s="2" t="inlineStr">
        <is>
          <t>Atau sambungan PDAM</t>
        </is>
      </c>
    </row>
    <row r="67">
      <c r="A67" t="n">
        <v>2</v>
      </c>
      <c r="B67" t="inlineStr">
        <is>
          <t>Toren 1.050 L + menara besi</t>
        </is>
      </c>
      <c r="C67" t="inlineStr">
        <is>
          <t>ls</t>
        </is>
      </c>
      <c r="D67" s="18" t="n">
        <v>3500000</v>
      </c>
      <c r="E67" s="19">
        <f>1</f>
        <v/>
      </c>
      <c r="F67" s="7">
        <f>E67*$D67</f>
        <v/>
      </c>
      <c r="G67" s="19">
        <f>1</f>
        <v/>
      </c>
      <c r="H67" s="7">
        <f>G67*$D67</f>
        <v/>
      </c>
      <c r="I67" s="19">
        <f>1</f>
        <v/>
      </c>
      <c r="J67" s="7">
        <f>I67*$D67</f>
        <v/>
      </c>
      <c r="K67" s="2" t="inlineStr"/>
    </row>
    <row r="68">
      <c r="A68" t="n">
        <v>3</v>
      </c>
      <c r="B68" t="inlineStr">
        <is>
          <t>Instalasi pipa air bersih &amp; kotor</t>
        </is>
      </c>
      <c r="C68" t="inlineStr">
        <is>
          <t>titik</t>
        </is>
      </c>
      <c r="D68" s="18" t="n">
        <v>350000</v>
      </c>
      <c r="E68" s="19">
        <f>Input!$C$33</f>
        <v/>
      </c>
      <c r="F68" s="7">
        <f>E68*$D68</f>
        <v/>
      </c>
      <c r="G68" s="19">
        <f>Input!$D$33</f>
        <v/>
      </c>
      <c r="H68" s="7">
        <f>G68*$D68</f>
        <v/>
      </c>
      <c r="I68" s="19">
        <f>Input!$E$33</f>
        <v/>
      </c>
      <c r="J68" s="7">
        <f>I68*$D68</f>
        <v/>
      </c>
      <c r="K68" s="2" t="inlineStr"/>
    </row>
    <row r="69">
      <c r="A69" t="n">
        <v>4</v>
      </c>
      <c r="B69" t="inlineStr">
        <is>
          <t>Septic tank biofil/biotech 1,5 m³</t>
        </is>
      </c>
      <c r="C69" t="inlineStr">
        <is>
          <t>unit</t>
        </is>
      </c>
      <c r="D69" s="18" t="n">
        <v>5000000</v>
      </c>
      <c r="E69" s="19">
        <f>1</f>
        <v/>
      </c>
      <c r="F69" s="7">
        <f>E69*$D69</f>
        <v/>
      </c>
      <c r="G69" s="19">
        <f>1</f>
        <v/>
      </c>
      <c r="H69" s="7">
        <f>G69*$D69</f>
        <v/>
      </c>
      <c r="I69" s="19">
        <f>1</f>
        <v/>
      </c>
      <c r="J69" s="7">
        <f>I69*$D69</f>
        <v/>
      </c>
      <c r="K69" s="2" t="inlineStr">
        <is>
          <t>Jarak ≥ 10 m dari sumur</t>
        </is>
      </c>
    </row>
    <row r="70">
      <c r="A70" t="n">
        <v>5</v>
      </c>
      <c r="B70" t="inlineStr">
        <is>
          <t>Kloset + kran + floor drain</t>
        </is>
      </c>
      <c r="C70" t="inlineStr">
        <is>
          <t>unit</t>
        </is>
      </c>
      <c r="D70" s="18" t="n">
        <v>1500000</v>
      </c>
      <c r="E70" s="19">
        <f>Input!$C$13</f>
        <v/>
      </c>
      <c r="F70" s="7">
        <f>E70*$D70</f>
        <v/>
      </c>
      <c r="G70" s="19">
        <f>Input!$D$13</f>
        <v/>
      </c>
      <c r="H70" s="7">
        <f>G70*$D70</f>
        <v/>
      </c>
      <c r="I70" s="19">
        <f>Input!$E$13</f>
        <v/>
      </c>
      <c r="J70" s="7">
        <f>I70*$D70</f>
        <v/>
      </c>
      <c r="K70" s="2" t="inlineStr"/>
    </row>
    <row r="71">
      <c r="A71" t="n">
        <v>6</v>
      </c>
      <c r="B71" t="inlineStr">
        <is>
          <t>Wastafel pelanggan + kran</t>
        </is>
      </c>
      <c r="C71" t="inlineStr">
        <is>
          <t>unit</t>
        </is>
      </c>
      <c r="D71" s="18" t="n">
        <v>900000</v>
      </c>
      <c r="E71" s="19">
        <f>Input!$C$34</f>
        <v/>
      </c>
      <c r="F71" s="7">
        <f>E71*$D71</f>
        <v/>
      </c>
      <c r="G71" s="19">
        <f>Input!$D$34</f>
        <v/>
      </c>
      <c r="H71" s="7">
        <f>G71*$D71</f>
        <v/>
      </c>
      <c r="I71" s="19">
        <f>Input!$E$34</f>
        <v/>
      </c>
      <c r="J71" s="7">
        <f>I71*$D71</f>
        <v/>
      </c>
      <c r="K71" s="2" t="inlineStr"/>
    </row>
    <row r="72">
      <c r="A72" t="n">
        <v>7</v>
      </c>
      <c r="B72" t="inlineStr">
        <is>
          <t>Grease trap (penangkap lemak) dapur</t>
        </is>
      </c>
      <c r="C72" t="inlineStr">
        <is>
          <t>unit</t>
        </is>
      </c>
      <c r="D72" s="18" t="n">
        <v>1200000</v>
      </c>
      <c r="E72" s="19">
        <f>1</f>
        <v/>
      </c>
      <c r="F72" s="7">
        <f>E72*$D72</f>
        <v/>
      </c>
      <c r="G72" s="19">
        <f>1</f>
        <v/>
      </c>
      <c r="H72" s="7">
        <f>G72*$D72</f>
        <v/>
      </c>
      <c r="I72" s="19">
        <f>1</f>
        <v/>
      </c>
      <c r="J72" s="7">
        <f>I72*$D72</f>
        <v/>
      </c>
      <c r="K72" s="2" t="inlineStr">
        <is>
          <t>Wajib untuk dapur</t>
        </is>
      </c>
    </row>
    <row r="73">
      <c r="A73" t="n">
        <v>8</v>
      </c>
      <c r="B73" t="inlineStr">
        <is>
          <t>Saluran drainase keliling</t>
        </is>
      </c>
      <c r="C73" t="inlineStr">
        <is>
          <t>m'</t>
        </is>
      </c>
      <c r="D73" s="18" t="n">
        <v>150000</v>
      </c>
      <c r="E73" s="19">
        <f>Volume!$C$42</f>
        <v/>
      </c>
      <c r="F73" s="7">
        <f>E73*$D73</f>
        <v/>
      </c>
      <c r="G73" s="19">
        <f>Volume!$D$42</f>
        <v/>
      </c>
      <c r="H73" s="7">
        <f>G73*$D73</f>
        <v/>
      </c>
      <c r="I73" s="19">
        <f>Volume!$E$42</f>
        <v/>
      </c>
      <c r="J73" s="7">
        <f>I73*$D73</f>
        <v/>
      </c>
      <c r="K73" s="2" t="inlineStr"/>
    </row>
    <row r="74">
      <c r="B74" s="5" t="inlineStr">
        <is>
          <t>Subtotal IX</t>
        </is>
      </c>
      <c r="F74" s="20">
        <f>SUM(F66:F73)</f>
        <v/>
      </c>
      <c r="H74" s="20">
        <f>SUM(H66:H73)</f>
        <v/>
      </c>
      <c r="J74" s="20">
        <f>SUM(J66:J73)</f>
        <v/>
      </c>
    </row>
    <row r="76">
      <c r="A76" s="11" t="inlineStr">
        <is>
          <t>X</t>
        </is>
      </c>
      <c r="B76" s="11" t="inlineStr">
        <is>
          <t>LISTRIK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A77" t="n">
        <v>1</v>
      </c>
      <c r="B77" t="inlineStr">
        <is>
          <t>Pasang baru PLN (perkiraan biaya penyambungan)</t>
        </is>
      </c>
      <c r="C77" t="inlineStr">
        <is>
          <t>VA</t>
        </is>
      </c>
      <c r="D77" s="18" t="n">
        <v>1000</v>
      </c>
      <c r="E77" s="19">
        <f>Input!$C$35</f>
        <v/>
      </c>
      <c r="F77" s="7">
        <f>E77*$D77</f>
        <v/>
      </c>
      <c r="G77" s="19">
        <f>Input!$D$35</f>
        <v/>
      </c>
      <c r="H77" s="7">
        <f>G77*$D77</f>
        <v/>
      </c>
      <c r="I77" s="19">
        <f>Input!$E$35</f>
        <v/>
      </c>
      <c r="J77" s="7">
        <f>I77*$D77</f>
        <v/>
      </c>
      <c r="K77" s="2" t="inlineStr">
        <is>
          <t>Cek tarif resmi di PLN Mobile</t>
        </is>
      </c>
    </row>
    <row r="78">
      <c r="A78" t="n">
        <v>2</v>
      </c>
      <c r="B78" t="inlineStr">
        <is>
          <t>SLO &amp; NIDI</t>
        </is>
      </c>
      <c r="C78" t="inlineStr">
        <is>
          <t>ls</t>
        </is>
      </c>
      <c r="D78" s="18" t="n">
        <v>750000</v>
      </c>
      <c r="E78" s="19">
        <f>1</f>
        <v/>
      </c>
      <c r="F78" s="7">
        <f>E78*$D78</f>
        <v/>
      </c>
      <c r="G78" s="19">
        <f>1</f>
        <v/>
      </c>
      <c r="H78" s="7">
        <f>G78*$D78</f>
        <v/>
      </c>
      <c r="I78" s="19">
        <f>1</f>
        <v/>
      </c>
      <c r="J78" s="7">
        <f>I78*$D78</f>
        <v/>
      </c>
      <c r="K78" s="2" t="inlineStr">
        <is>
          <t>Syarat pasang baru</t>
        </is>
      </c>
    </row>
    <row r="79">
      <c r="A79" t="n">
        <v>3</v>
      </c>
      <c r="B79" t="inlineStr">
        <is>
          <t>Instalasi titik lampu &amp; stop kontak (NYM, pipa, saklar)</t>
        </is>
      </c>
      <c r="C79" t="inlineStr">
        <is>
          <t>titik</t>
        </is>
      </c>
      <c r="D79" s="18" t="n">
        <v>185000</v>
      </c>
      <c r="E79" s="19">
        <f>Volume!$C$43</f>
        <v/>
      </c>
      <c r="F79" s="7">
        <f>E79*$D79</f>
        <v/>
      </c>
      <c r="G79" s="19">
        <f>Volume!$D$43</f>
        <v/>
      </c>
      <c r="H79" s="7">
        <f>G79*$D79</f>
        <v/>
      </c>
      <c r="I79" s="19">
        <f>Volume!$E$43</f>
        <v/>
      </c>
      <c r="J79" s="7">
        <f>I79*$D79</f>
        <v/>
      </c>
      <c r="K79" s="2" t="inlineStr"/>
    </row>
    <row r="80">
      <c r="A80" t="n">
        <v>4</v>
      </c>
      <c r="B80" t="inlineStr">
        <is>
          <t>Panel MCB + grounding</t>
        </is>
      </c>
      <c r="C80" t="inlineStr">
        <is>
          <t>ls</t>
        </is>
      </c>
      <c r="D80" s="18" t="n">
        <v>2000000</v>
      </c>
      <c r="E80" s="19">
        <f>1</f>
        <v/>
      </c>
      <c r="F80" s="7">
        <f>E80*$D80</f>
        <v/>
      </c>
      <c r="G80" s="19">
        <f>1</f>
        <v/>
      </c>
      <c r="H80" s="7">
        <f>G80*$D80</f>
        <v/>
      </c>
      <c r="I80" s="19">
        <f>1</f>
        <v/>
      </c>
      <c r="J80" s="7">
        <f>I80*$D80</f>
        <v/>
      </c>
      <c r="K80" s="2" t="inlineStr">
        <is>
          <t>MCB terpisah dapur, bar, stop kontak pelanggan</t>
        </is>
      </c>
    </row>
    <row r="81">
      <c r="A81" t="n">
        <v>5</v>
      </c>
      <c r="B81" t="inlineStr">
        <is>
          <t>Lampu LED + armatur</t>
        </is>
      </c>
      <c r="C81" t="inlineStr">
        <is>
          <t>titik</t>
        </is>
      </c>
      <c r="D81" s="18" t="n">
        <v>90000</v>
      </c>
      <c r="E81" s="19">
        <f>Input!$C$31</f>
        <v/>
      </c>
      <c r="F81" s="7">
        <f>E81*$D81</f>
        <v/>
      </c>
      <c r="G81" s="19">
        <f>Input!$D$31</f>
        <v/>
      </c>
      <c r="H81" s="7">
        <f>G81*$D81</f>
        <v/>
      </c>
      <c r="I81" s="19">
        <f>Input!$E$31</f>
        <v/>
      </c>
      <c r="J81" s="7">
        <f>I81*$D81</f>
        <v/>
      </c>
      <c r="K81" s="2" t="inlineStr"/>
    </row>
    <row r="82">
      <c r="B82" s="5" t="inlineStr">
        <is>
          <t>Subtotal X</t>
        </is>
      </c>
      <c r="F82" s="20">
        <f>SUM(F77:F81)</f>
        <v/>
      </c>
      <c r="H82" s="20">
        <f>SUM(H77:H81)</f>
        <v/>
      </c>
      <c r="J82" s="20">
        <f>SUM(J77:J81)</f>
        <v/>
      </c>
    </row>
    <row r="84">
      <c r="A84" s="11" t="inlineStr">
        <is>
          <t>XI</t>
        </is>
      </c>
      <c r="B84" s="11" t="inlineStr">
        <is>
          <t>PERIZINAN &amp; LAIN-LAIN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t="n">
        <v>1</v>
      </c>
      <c r="B85" t="inlineStr">
        <is>
          <t>PBG/SLF: retribusi &amp; pengurusan (perkiraan)</t>
        </is>
      </c>
      <c r="C85" t="inlineStr">
        <is>
          <t>ls</t>
        </is>
      </c>
      <c r="D85" s="18" t="n">
        <v>5000000</v>
      </c>
      <c r="E85" s="19">
        <f>Input!$C$38</f>
        <v/>
      </c>
      <c r="F85" s="7">
        <f>E85*$D85</f>
        <v/>
      </c>
      <c r="G85" s="19">
        <f>Input!$D$38</f>
        <v/>
      </c>
      <c r="H85" s="7">
        <f>G85*$D85</f>
        <v/>
      </c>
      <c r="I85" s="19">
        <f>Input!$E$38</f>
        <v/>
      </c>
      <c r="J85" s="7">
        <f>I85*$D85</f>
        <v/>
      </c>
      <c r="K85" s="2" t="inlineStr">
        <is>
          <t>Besaran retribusi berbeda tiap daerah</t>
        </is>
      </c>
    </row>
    <row r="86">
      <c r="A86" t="n">
        <v>2</v>
      </c>
      <c r="B86" t="inlineStr">
        <is>
          <t>Gambar kerja &amp; cek struktur (drafter/insinyur)</t>
        </is>
      </c>
      <c r="C86" t="inlineStr">
        <is>
          <t>ls</t>
        </is>
      </c>
      <c r="D86" s="18" t="n">
        <v>2500000</v>
      </c>
      <c r="E86" s="19">
        <f>Input!$C$38</f>
        <v/>
      </c>
      <c r="F86" s="7">
        <f>E86*$D86</f>
        <v/>
      </c>
      <c r="G86" s="19">
        <f>Input!$D$38</f>
        <v/>
      </c>
      <c r="H86" s="7">
        <f>G86*$D86</f>
        <v/>
      </c>
      <c r="I86" s="19">
        <f>Input!$E$38</f>
        <v/>
      </c>
      <c r="J86" s="7">
        <f>I86*$D86</f>
        <v/>
      </c>
      <c r="K86" s="2" t="inlineStr"/>
    </row>
    <row r="87">
      <c r="A87" t="n">
        <v>3</v>
      </c>
      <c r="B87" t="inlineStr">
        <is>
          <t>APAR 6 kg + rambu jalur keluar</t>
        </is>
      </c>
      <c r="C87" t="inlineStr">
        <is>
          <t>ls</t>
        </is>
      </c>
      <c r="D87" s="18" t="n">
        <v>900000</v>
      </c>
      <c r="E87" s="19">
        <f>1</f>
        <v/>
      </c>
      <c r="F87" s="7">
        <f>E87*$D87</f>
        <v/>
      </c>
      <c r="G87" s="19">
        <f>1</f>
        <v/>
      </c>
      <c r="H87" s="7">
        <f>G87*$D87</f>
        <v/>
      </c>
      <c r="I87" s="19">
        <f>1</f>
        <v/>
      </c>
      <c r="J87" s="7">
        <f>I87*$D87</f>
        <v/>
      </c>
      <c r="K87" s="2" t="inlineStr"/>
    </row>
    <row r="88">
      <c r="A88" t="n">
        <v>4</v>
      </c>
      <c r="B88" t="inlineStr">
        <is>
          <t>Pembersihan akhir</t>
        </is>
      </c>
      <c r="C88" t="inlineStr">
        <is>
          <t>ls</t>
        </is>
      </c>
      <c r="D88" s="18" t="n">
        <v>750000</v>
      </c>
      <c r="E88" s="19">
        <f>1</f>
        <v/>
      </c>
      <c r="F88" s="7">
        <f>E88*$D88</f>
        <v/>
      </c>
      <c r="G88" s="19">
        <f>1</f>
        <v/>
      </c>
      <c r="H88" s="7">
        <f>G88*$D88</f>
        <v/>
      </c>
      <c r="I88" s="19">
        <f>1</f>
        <v/>
      </c>
      <c r="J88" s="7">
        <f>I88*$D88</f>
        <v/>
      </c>
      <c r="K88" s="2" t="inlineStr"/>
    </row>
    <row r="89">
      <c r="B89" s="5" t="inlineStr">
        <is>
          <t>Subtotal XI</t>
        </is>
      </c>
      <c r="F89" s="20">
        <f>SUM(F85:F88)</f>
        <v/>
      </c>
      <c r="H89" s="20">
        <f>SUM(H85:H88)</f>
        <v/>
      </c>
      <c r="J89" s="20">
        <f>SUM(J85:J88)</f>
        <v/>
      </c>
    </row>
    <row r="91">
      <c r="B91" s="5" t="inlineStr">
        <is>
          <t>JUMLAH PEKERJAAN</t>
        </is>
      </c>
      <c r="F91" s="20">
        <f>F10+F15+F24+F32+F41+F51+F55+F63+F74+F82+F89</f>
        <v/>
      </c>
      <c r="H91" s="20">
        <f>H10+H15+H24+H32+H41+H51+H55+H63+H74+H82+H89</f>
        <v/>
      </c>
      <c r="J91" s="20">
        <f>J10+J15+J24+J32+J41+J51+J55+J63+J74+J82+J89</f>
        <v/>
      </c>
    </row>
    <row r="92">
      <c r="B92" t="inlineStr">
        <is>
          <t>Dana tak terduga (kontingensi)</t>
        </is>
      </c>
      <c r="F92" s="20">
        <f>F91*Input!$C$39</f>
        <v/>
      </c>
      <c r="H92" s="20">
        <f>H91*Input!$D$39</f>
        <v/>
      </c>
      <c r="J92" s="20">
        <f>J91*Input!$E$39</f>
        <v/>
      </c>
    </row>
    <row r="93">
      <c r="B93" s="21" t="inlineStr">
        <is>
          <t>TOTAL BIAYA BANGUNAN</t>
        </is>
      </c>
      <c r="F93" s="6">
        <f>F91+F92</f>
        <v/>
      </c>
      <c r="H93" s="6">
        <f>H91+H92</f>
        <v/>
      </c>
      <c r="J93" s="6">
        <f>J91+J92</f>
        <v/>
      </c>
    </row>
    <row r="94">
      <c r="B94" t="inlineStr">
        <is>
          <t>Biaya per m² lantai beratap</t>
        </is>
      </c>
      <c r="F94" s="20">
        <f>F93/Volume!$C$8</f>
        <v/>
      </c>
      <c r="H94" s="20">
        <f>H93/Volume!$D$8</f>
        <v/>
      </c>
      <c r="J94" s="20">
        <f>J93/Volume!$E$8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20" customWidth="1" min="3" max="3"/>
    <col width="20" customWidth="1" min="4" max="4"/>
    <col width="20" customWidth="1" min="5" max="5"/>
    <col width="50" customWidth="1" min="6" max="6"/>
  </cols>
  <sheetData>
    <row r="1">
      <c r="A1" s="10" t="inlineStr">
        <is>
          <t>DAFTAR BELANJA MATERIAL (perkiraan, sudah termasuk faktor sisa)</t>
        </is>
      </c>
    </row>
    <row r="2">
      <c r="A2" s="2" t="inlineStr">
        <is>
          <t>Untuk mengecek penawaran tukang &amp; belanja sendiri. Minta tukang memeriksa ulang sebelum memesan.</t>
        </is>
      </c>
    </row>
    <row r="4">
      <c r="A4" s="3" t="inlineStr">
        <is>
          <t>Material</t>
        </is>
      </c>
      <c r="B4" s="3" t="inlineStr">
        <is>
          <t>Satuan</t>
        </is>
      </c>
      <c r="C4" s="3" t="inlineStr">
        <is>
          <t>Paket A · Lengkap</t>
        </is>
      </c>
      <c r="D4" s="3" t="inlineStr">
        <is>
          <t>Paket B · Hemat</t>
        </is>
      </c>
      <c r="E4" s="3" t="inlineStr">
        <is>
          <t>Paket C · Mulai Kecil</t>
        </is>
      </c>
      <c r="F4" s="3" t="inlineStr">
        <is>
          <t>Dasar hitung</t>
        </is>
      </c>
    </row>
    <row r="5">
      <c r="A5" s="11" t="inlineStr">
        <is>
          <t>STRUKTUR &amp; ATAP</t>
        </is>
      </c>
      <c r="B5" s="12" t="n"/>
      <c r="C5" s="12" t="n"/>
      <c r="D5" s="12" t="n"/>
      <c r="E5" s="12" t="n"/>
      <c r="F5" s="12" t="n"/>
    </row>
    <row r="6">
      <c r="A6" t="inlineStr">
        <is>
          <t>Hollow galvanis 100×100×2,0 mm, 6 m (kolom)</t>
        </is>
      </c>
      <c r="B6" t="inlineStr">
        <is>
          <t>batang</t>
        </is>
      </c>
      <c r="C6" s="22">
        <f>Volume!$C$17</f>
        <v/>
      </c>
      <c r="D6" s="22">
        <f>Volume!$D$17</f>
        <v/>
      </c>
      <c r="E6" s="22">
        <f>Volume!$E$17</f>
        <v/>
      </c>
      <c r="F6" s="2" t="inlineStr">
        <is>
          <t>1 batang per kolom</t>
        </is>
      </c>
    </row>
    <row r="7">
      <c r="A7" t="inlineStr">
        <is>
          <t>Hollow galvanis 50×100×2,0 mm, 6 m (ring balk)</t>
        </is>
      </c>
      <c r="B7" t="inlineStr">
        <is>
          <t>batang</t>
        </is>
      </c>
      <c r="C7" s="22">
        <f>Volume!$C$19</f>
        <v/>
      </c>
      <c r="D7" s="22">
        <f>Volume!$D$19</f>
        <v/>
      </c>
      <c r="E7" s="22">
        <f>Volume!$E$19</f>
        <v/>
      </c>
      <c r="F7" s="2" t="inlineStr"/>
    </row>
    <row r="8">
      <c r="A8" t="inlineStr">
        <is>
          <t>Kanal C75 0,75 mm baja ringan, 6 m</t>
        </is>
      </c>
      <c r="B8" t="inlineStr">
        <is>
          <t>batang</t>
        </is>
      </c>
      <c r="C8" s="22">
        <f>ROUNDUP(Volume!$C$14*0.3*(1+Input!$C$40),0)</f>
        <v/>
      </c>
      <c r="D8" s="22">
        <f>ROUNDUP(Volume!$D$14*0.3*(1+Input!$D$40),0)</f>
        <v/>
      </c>
      <c r="E8" s="22">
        <f>ROUNDUP(Volume!$E$14*0.3*(1+Input!$E$40),0)</f>
        <v/>
      </c>
      <c r="F8" s="2" t="inlineStr">
        <is>
          <t>± 0,3 batang/m² atap</t>
        </is>
      </c>
    </row>
    <row r="9">
      <c r="A9" t="inlineStr">
        <is>
          <t>Reng R32 0,45 mm, 6 m</t>
        </is>
      </c>
      <c r="B9" t="inlineStr">
        <is>
          <t>batang</t>
        </is>
      </c>
      <c r="C9" s="22">
        <f>ROUNDUP(Volume!$C$14*0.2*(1+Input!$C$40),0)</f>
        <v/>
      </c>
      <c r="D9" s="22">
        <f>ROUNDUP(Volume!$D$14*0.2*(1+Input!$D$40),0)</f>
        <v/>
      </c>
      <c r="E9" s="22">
        <f>ROUNDUP(Volume!$E$14*0.2*(1+Input!$E$40),0)</f>
        <v/>
      </c>
      <c r="F9" s="2" t="inlineStr">
        <is>
          <t>reng jarak ± 1 m untuk spandek</t>
        </is>
      </c>
    </row>
    <row r="10">
      <c r="A10" t="inlineStr">
        <is>
          <t>Spandek pasir 0,35 mm</t>
        </is>
      </c>
      <c r="B10" t="inlineStr">
        <is>
          <t>m²</t>
        </is>
      </c>
      <c r="C10" s="22">
        <f>ROUNDUP(Volume!$C$14*(1+Input!$C$40),0)</f>
        <v/>
      </c>
      <c r="D10" s="22">
        <f>ROUNDUP(Volume!$D$14*(1+Input!$D$40),0)</f>
        <v/>
      </c>
      <c r="E10" s="22">
        <f>ROUNDUP(Volume!$E$14*(1+Input!$E$40),0)</f>
        <v/>
      </c>
      <c r="F10" s="2" t="inlineStr">
        <is>
          <t>pesan per panjang lembar sesuai sisi miring atap</t>
        </is>
      </c>
    </row>
    <row r="11">
      <c r="A11" t="inlineStr">
        <is>
          <t>Aluminium foil 2 sisi (roll ± 75 m²)</t>
        </is>
      </c>
      <c r="B11" t="inlineStr">
        <is>
          <t>roll</t>
        </is>
      </c>
      <c r="C11" s="22">
        <f>ROUNDUP(Volume!$C$14*(1+Input!$C$40)/70,0)</f>
        <v/>
      </c>
      <c r="D11" s="22">
        <f>ROUNDUP(Volume!$D$14*(1+Input!$D$40)/70,0)</f>
        <v/>
      </c>
      <c r="E11" s="22">
        <f>ROUNDUP(Volume!$E$14*(1+Input!$E$40)/70,0)</f>
        <v/>
      </c>
      <c r="F11" s="2" t="inlineStr"/>
    </row>
    <row r="12">
      <c r="A12" t="inlineStr">
        <is>
          <t>Baut roofing 12×20</t>
        </is>
      </c>
      <c r="B12" t="inlineStr">
        <is>
          <t>pcs</t>
        </is>
      </c>
      <c r="C12" s="22">
        <f>ROUNDUP(Volume!$C$14*6,0)</f>
        <v/>
      </c>
      <c r="D12" s="22">
        <f>ROUNDUP(Volume!$D$14*6,0)</f>
        <v/>
      </c>
      <c r="E12" s="22">
        <f>ROUNDUP(Volume!$E$14*6,0)</f>
        <v/>
      </c>
      <c r="F12" s="2" t="inlineStr">
        <is>
          <t>± 6 per m²</t>
        </is>
      </c>
    </row>
    <row r="13">
      <c r="A13" s="11" t="inlineStr">
        <is>
          <t>BETON &amp; LANTAI</t>
        </is>
      </c>
      <c r="B13" s="12" t="n"/>
      <c r="C13" s="12" t="n"/>
      <c r="D13" s="12" t="n"/>
      <c r="E13" s="12" t="n"/>
      <c r="F13" s="12" t="n"/>
    </row>
    <row r="14">
      <c r="A14" t="inlineStr">
        <is>
          <t>Beton lantai rabat K-175</t>
        </is>
      </c>
      <c r="B14" t="inlineStr">
        <is>
          <t>m³</t>
        </is>
      </c>
      <c r="C14" s="23">
        <f>Volume!$C$27*0.08*(1+Input!$C$40)</f>
        <v/>
      </c>
      <c r="D14" s="23">
        <f>Volume!$D$27*0.08*(1+Input!$D$40)</f>
        <v/>
      </c>
      <c r="E14" s="23">
        <f>Volume!$E$27*0.08*(1+Input!$E$40)</f>
        <v/>
      </c>
      <c r="F14" s="2" t="inlineStr">
        <is>
          <t>ready mix, atau ± 7 sak semen/m³ bila aduk di tempat</t>
        </is>
      </c>
    </row>
    <row r="15">
      <c r="A15" t="inlineStr">
        <is>
          <t>Beton pondasi &amp; sloof K-225</t>
        </is>
      </c>
      <c r="B15" t="inlineStr">
        <is>
          <t>m³</t>
        </is>
      </c>
      <c r="C15" s="23">
        <f>(Volume!$C$17*0.25+Volume!$C$25*0.03)*(1+Input!$C$40)</f>
        <v/>
      </c>
      <c r="D15" s="23">
        <f>(Volume!$D$17*0.25+Volume!$D$25*0.03)*(1+Input!$D$40)</f>
        <v/>
      </c>
      <c r="E15" s="23">
        <f>(Volume!$E$17*0.25+Volume!$E$25*0.03)*(1+Input!$E$40)</f>
        <v/>
      </c>
      <c r="F15" s="2" t="inlineStr"/>
    </row>
    <row r="16">
      <c r="A16" t="inlineStr">
        <is>
          <t>Semen 50 kg (pondasi &amp; sloof aduk di tempat)</t>
        </is>
      </c>
      <c r="B16" t="inlineStr">
        <is>
          <t>sak</t>
        </is>
      </c>
      <c r="C16" s="22">
        <f>ROUNDUP((Volume!$C$17*0.25+Volume!$C$25*0.03)*(1+Input!$C$40)*8,0)</f>
        <v/>
      </c>
      <c r="D16" s="22">
        <f>ROUNDUP((Volume!$D$17*0.25+Volume!$D$25*0.03)*(1+Input!$D$40)*8,0)</f>
        <v/>
      </c>
      <c r="E16" s="22">
        <f>ROUNDUP((Volume!$E$17*0.25+Volume!$E$25*0.03)*(1+Input!$E$40)*8,0)</f>
        <v/>
      </c>
      <c r="F16" s="2" t="inlineStr">
        <is>
          <t>± 8 sak/m³ K-225</t>
        </is>
      </c>
    </row>
    <row r="17">
      <c r="A17" t="inlineStr">
        <is>
          <t>Besi ulir D10, 12 m</t>
        </is>
      </c>
      <c r="B17" t="inlineStr">
        <is>
          <t>batang</t>
        </is>
      </c>
      <c r="C17" s="22">
        <f>ROUNDUP((Volume!$C$25/12*4+Volume!$C$17*1.5)*(1+Input!$C$40),0)</f>
        <v/>
      </c>
      <c r="D17" s="22">
        <f>ROUNDUP((Volume!$D$25/12*4+Volume!$D$17*1.5)*(1+Input!$D$40),0)</f>
        <v/>
      </c>
      <c r="E17" s="22">
        <f>ROUNDUP((Volume!$E$25/12*4+Volume!$E$17*1.5)*(1+Input!$E$40),0)</f>
        <v/>
      </c>
      <c r="F17" s="2" t="inlineStr"/>
    </row>
    <row r="18">
      <c r="A18" t="inlineStr">
        <is>
          <t>Wiremesh M6 2,1 × 5,4 m</t>
        </is>
      </c>
      <c r="B18" t="inlineStr">
        <is>
          <t>lembar</t>
        </is>
      </c>
      <c r="C18" s="22">
        <f>ROUNDUP(Volume!$C$27/10*(1+Input!$C$40),0)</f>
        <v/>
      </c>
      <c r="D18" s="22">
        <f>ROUNDUP(Volume!$D$27/10*(1+Input!$D$40),0)</f>
        <v/>
      </c>
      <c r="E18" s="22">
        <f>ROUNDUP(Volume!$E$27/10*(1+Input!$E$40),0)</f>
        <v/>
      </c>
      <c r="F18" s="2" t="inlineStr"/>
    </row>
    <row r="19">
      <c r="A19" t="inlineStr">
        <is>
          <t>Pasir urug</t>
        </is>
      </c>
      <c r="B19" t="inlineStr">
        <is>
          <t>m³</t>
        </is>
      </c>
      <c r="C19" s="23">
        <f>Volume!$C$26*(1+Input!$C$40)</f>
        <v/>
      </c>
      <c r="D19" s="23">
        <f>Volume!$D$26*(1+Input!$D$40)</f>
        <v/>
      </c>
      <c r="E19" s="23">
        <f>Volume!$E$26*(1+Input!$E$40)</f>
        <v/>
      </c>
      <c r="F19" s="2" t="inlineStr"/>
    </row>
    <row r="20">
      <c r="A20" t="inlineStr">
        <is>
          <t>Keramik lantai 60×60</t>
        </is>
      </c>
      <c r="B20" t="inlineStr">
        <is>
          <t>m²</t>
        </is>
      </c>
      <c r="C20" s="22">
        <f>Volume!$C$28*(1+Input!$C$40)</f>
        <v/>
      </c>
      <c r="D20" s="22">
        <f>Volume!$D$28*(1+Input!$D$40)</f>
        <v/>
      </c>
      <c r="E20" s="22">
        <f>Volume!$E$28*(1+Input!$E$40)</f>
        <v/>
      </c>
      <c r="F20" s="2" t="inlineStr"/>
    </row>
    <row r="21">
      <c r="A21" t="inlineStr">
        <is>
          <t>Keramik dinding toilet</t>
        </is>
      </c>
      <c r="B21" t="inlineStr">
        <is>
          <t>m²</t>
        </is>
      </c>
      <c r="C21" s="22">
        <f>Volume!$C$30*(1+Input!$C$40)</f>
        <v/>
      </c>
      <c r="D21" s="22">
        <f>Volume!$D$30*(1+Input!$D$40)</f>
        <v/>
      </c>
      <c r="E21" s="22">
        <f>Volume!$E$30*(1+Input!$E$40)</f>
        <v/>
      </c>
      <c r="F21" s="2" t="inlineStr"/>
    </row>
    <row r="22">
      <c r="A22" s="11" t="inlineStr">
        <is>
          <t>DINDING &amp; FINISHING</t>
        </is>
      </c>
      <c r="B22" s="12" t="n"/>
      <c r="C22" s="12" t="n"/>
      <c r="D22" s="12" t="n"/>
      <c r="E22" s="12" t="n"/>
      <c r="F22" s="12" t="n"/>
    </row>
    <row r="23">
      <c r="A23" t="inlineStr">
        <is>
          <t>Papan GRC 8 mm 1,2 × 2,4 m</t>
        </is>
      </c>
      <c r="B23" t="inlineStr">
        <is>
          <t>lembar</t>
        </is>
      </c>
      <c r="C23" s="22">
        <f>ROUNDUP(Volume!$C$33/2.88*(1+Input!$C$40),0)</f>
        <v/>
      </c>
      <c r="D23" s="22">
        <f>ROUNDUP(Volume!$D$33/2.88*(1+Input!$D$40),0)</f>
        <v/>
      </c>
      <c r="E23" s="22">
        <f>ROUNDUP(Volume!$E$33/2.88*(1+Input!$E$40),0)</f>
        <v/>
      </c>
      <c r="F23" s="2" t="inlineStr">
        <is>
          <t>sisi luar dinding luar</t>
        </is>
      </c>
    </row>
    <row r="24">
      <c r="A24" t="inlineStr">
        <is>
          <t>Papan GRC 6 mm 1,2 × 2,4 m</t>
        </is>
      </c>
      <c r="B24" t="inlineStr">
        <is>
          <t>lembar</t>
        </is>
      </c>
      <c r="C24" s="22">
        <f>ROUNDUP((Volume!$C$33+2*Volume!$C$34)/2.88*(1+Input!$C$40),0)</f>
        <v/>
      </c>
      <c r="D24" s="22">
        <f>ROUNDUP((Volume!$D$33+2*Volume!$D$34)/2.88*(1+Input!$D$40),0)</f>
        <v/>
      </c>
      <c r="E24" s="22">
        <f>ROUNDUP((Volume!$E$33+2*Volume!$E$34)/2.88*(1+Input!$E$40),0)</f>
        <v/>
      </c>
      <c r="F24" s="2" t="inlineStr">
        <is>
          <t>sisi dalam + partisi 2 sisi</t>
        </is>
      </c>
    </row>
    <row r="25">
      <c r="A25" t="inlineStr">
        <is>
          <t>Hollow galvalum 40×40, 4 m (rangka partisi)</t>
        </is>
      </c>
      <c r="B25" t="inlineStr">
        <is>
          <t>batang</t>
        </is>
      </c>
      <c r="C25" s="22">
        <f>ROUNDUP((Volume!$C$33+Volume!$C$34)*2.2/4*(1+Input!$C$40),0)</f>
        <v/>
      </c>
      <c r="D25" s="22">
        <f>ROUNDUP((Volume!$D$33+Volume!$D$34)*2.2/4*(1+Input!$D$40),0)</f>
        <v/>
      </c>
      <c r="E25" s="22">
        <f>ROUNDUP((Volume!$E$33+Volume!$E$34)*2.2/4*(1+Input!$E$40),0)</f>
        <v/>
      </c>
      <c r="F25" s="2" t="inlineStr">
        <is>
          <t>± 2,2 m' per m² dinding</t>
        </is>
      </c>
    </row>
    <row r="26">
      <c r="A26" t="inlineStr">
        <is>
          <t>Sekrup gypsum 6×25</t>
        </is>
      </c>
      <c r="B26" t="inlineStr">
        <is>
          <t>pcs</t>
        </is>
      </c>
      <c r="C26" s="22">
        <f>ROUNDUP((Volume!$C$33*2+Volume!$C$34*2)*25,0)</f>
        <v/>
      </c>
      <c r="D26" s="22">
        <f>ROUNDUP((Volume!$D$33*2+Volume!$D$34*2)*25,0)</f>
        <v/>
      </c>
      <c r="E26" s="22">
        <f>ROUNDUP((Volume!$E$33*2+Volume!$E$34*2)*25,0)</f>
        <v/>
      </c>
      <c r="F26" s="2" t="inlineStr">
        <is>
          <t>± 25 per m² papan</t>
        </is>
      </c>
    </row>
    <row r="27">
      <c r="A27" t="inlineStr">
        <is>
          <t>Kompon sambungan 20 kg</t>
        </is>
      </c>
      <c r="B27" t="inlineStr">
        <is>
          <t>sak</t>
        </is>
      </c>
      <c r="C27" s="22">
        <f>ROUNDUP((Volume!$C$33*2+Volume!$C$34*2)/25,0)</f>
        <v/>
      </c>
      <c r="D27" s="22">
        <f>ROUNDUP((Volume!$D$33*2+Volume!$D$34*2)/25,0)</f>
        <v/>
      </c>
      <c r="E27" s="22">
        <f>ROUNDUP((Volume!$E$33*2+Volume!$E$34*2)/25,0)</f>
        <v/>
      </c>
      <c r="F27" s="2" t="inlineStr"/>
    </row>
    <row r="28">
      <c r="A28" t="inlineStr">
        <is>
          <t>Bata ringan 7,5 cm</t>
        </is>
      </c>
      <c r="B28" t="inlineStr">
        <is>
          <t>m²</t>
        </is>
      </c>
      <c r="C28" s="22">
        <f>Volume!$C$35*(1+Input!$C$40)</f>
        <v/>
      </c>
      <c r="D28" s="22">
        <f>Volume!$D$35*(1+Input!$D$40)</f>
        <v/>
      </c>
      <c r="E28" s="22">
        <f>Volume!$E$35*(1+Input!$E$40)</f>
        <v/>
      </c>
      <c r="F28" s="2" t="inlineStr"/>
    </row>
    <row r="29">
      <c r="A29" t="inlineStr">
        <is>
          <t>Semen perekat bata ringan 40 kg</t>
        </is>
      </c>
      <c r="B29" t="inlineStr">
        <is>
          <t>sak</t>
        </is>
      </c>
      <c r="C29" s="22">
        <f>ROUNDUP(Volume!$C$35/7,0)</f>
        <v/>
      </c>
      <c r="D29" s="22">
        <f>ROUNDUP(Volume!$D$35/7,0)</f>
        <v/>
      </c>
      <c r="E29" s="22">
        <f>ROUNDUP(Volume!$E$35/7,0)</f>
        <v/>
      </c>
      <c r="F29" s="2" t="inlineStr"/>
    </row>
    <row r="30">
      <c r="A30" t="inlineStr">
        <is>
          <t>Cat interior 25 kg</t>
        </is>
      </c>
      <c r="B30" t="inlineStr">
        <is>
          <t>pail</t>
        </is>
      </c>
      <c r="C30" s="22">
        <f>ROUNDUP(Volume!$C$37/120,0)</f>
        <v/>
      </c>
      <c r="D30" s="22">
        <f>ROUNDUP(Volume!$D$37/120,0)</f>
        <v/>
      </c>
      <c r="E30" s="22">
        <f>ROUNDUP(Volume!$E$37/120,0)</f>
        <v/>
      </c>
      <c r="F30" s="2" t="inlineStr">
        <is>
          <t>2 lapis</t>
        </is>
      </c>
    </row>
    <row r="31">
      <c r="A31" t="inlineStr">
        <is>
          <t>Cat eksterior 20 L</t>
        </is>
      </c>
      <c r="B31" t="inlineStr">
        <is>
          <t>pail</t>
        </is>
      </c>
      <c r="C31" s="22">
        <f>ROUNDUP(Volume!$C$38/100,0)</f>
        <v/>
      </c>
      <c r="D31" s="22">
        <f>ROUNDUP(Volume!$D$38/100,0)</f>
        <v/>
      </c>
      <c r="E31" s="22">
        <f>ROUNDUP(Volume!$E$38/100,0)</f>
        <v/>
      </c>
      <c r="F31" s="2" t="inlineStr">
        <is>
          <t>2 lapis</t>
        </is>
      </c>
    </row>
    <row r="32">
      <c r="A32" s="11" t="inlineStr">
        <is>
          <t>LISTRIK &amp; AIR</t>
        </is>
      </c>
      <c r="B32" s="12" t="n"/>
      <c r="C32" s="12" t="n"/>
      <c r="D32" s="12" t="n"/>
      <c r="E32" s="12" t="n"/>
      <c r="F32" s="12" t="n"/>
    </row>
    <row r="33">
      <c r="A33" t="inlineStr">
        <is>
          <t>Kabel NYM 3 × 2,5 mm (roll 50 m)</t>
        </is>
      </c>
      <c r="B33" t="inlineStr">
        <is>
          <t>roll</t>
        </is>
      </c>
      <c r="C33" s="22">
        <f>ROUNDUP(Volume!$C$43*8/50,0)</f>
        <v/>
      </c>
      <c r="D33" s="22">
        <f>ROUNDUP(Volume!$D$43*8/50,0)</f>
        <v/>
      </c>
      <c r="E33" s="22">
        <f>ROUNDUP(Volume!$E$43*8/50,0)</f>
        <v/>
      </c>
      <c r="F33" s="2" t="inlineStr">
        <is>
          <t>± 8 m per titik</t>
        </is>
      </c>
    </row>
    <row r="34">
      <c r="A34" t="inlineStr">
        <is>
          <t>Pipa PVC 1/2" air bersih, 4 m</t>
        </is>
      </c>
      <c r="B34" t="inlineStr">
        <is>
          <t>batang</t>
        </is>
      </c>
      <c r="C34" s="22">
        <f>Input!$C$33*2</f>
        <v/>
      </c>
      <c r="D34" s="22">
        <f>Input!$D$33*2</f>
        <v/>
      </c>
      <c r="E34" s="22">
        <f>Input!$E$33*2</f>
        <v/>
      </c>
      <c r="F34" s="2" t="inlineStr"/>
    </row>
    <row r="35">
      <c r="A35" t="inlineStr">
        <is>
          <t>Pipa PVC 3" air kotor, 4 m</t>
        </is>
      </c>
      <c r="B35" t="inlineStr">
        <is>
          <t>batang</t>
        </is>
      </c>
      <c r="C35" s="22">
        <f>Input!$C$13*3+4</f>
        <v/>
      </c>
      <c r="D35" s="22">
        <f>Input!$D$13*3+4</f>
        <v/>
      </c>
      <c r="E35" s="22">
        <f>Input!$E$13*3+4</f>
        <v/>
      </c>
      <c r="F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9" customWidth="1" min="2" max="2"/>
    <col width="8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0" t="inlineStr">
        <is>
          <t>JADWAL PELAKSANAAN &amp; KURVA S</t>
        </is>
      </c>
    </row>
    <row r="2">
      <c r="A2" s="5" t="inlineStr">
        <is>
          <t>Pilih paket (1 = A, 2 = B, 3 = C):</t>
        </is>
      </c>
      <c r="C2" s="24" t="n">
        <v>1</v>
      </c>
      <c r="D2" s="5">
        <f>CHOOSE($C$2,"Paket A · Lengkap","Paket B · Hemat","Paket C · Mulai Kecil")</f>
        <v/>
      </c>
    </row>
    <row r="4">
      <c r="A4" s="3" t="inlineStr">
        <is>
          <t>Pekerjaan</t>
        </is>
      </c>
      <c r="B4" s="3" t="inlineStr">
        <is>
          <t>Divisi RAB</t>
        </is>
      </c>
      <c r="C4" s="3" t="inlineStr">
        <is>
          <t>Bobot</t>
        </is>
      </c>
      <c r="D4" s="3" t="inlineStr">
        <is>
          <t>Minggu mulai</t>
        </is>
      </c>
      <c r="E4" s="3" t="inlineStr">
        <is>
          <t>Durasi (minggu)</t>
        </is>
      </c>
      <c r="F4" s="3" t="inlineStr">
        <is>
          <t>M1</t>
        </is>
      </c>
      <c r="G4" s="3" t="inlineStr">
        <is>
          <t>M2</t>
        </is>
      </c>
      <c r="H4" s="3" t="inlineStr">
        <is>
          <t>M3</t>
        </is>
      </c>
      <c r="I4" s="3" t="inlineStr">
        <is>
          <t>M4</t>
        </is>
      </c>
      <c r="J4" s="3" t="inlineStr">
        <is>
          <t>M5</t>
        </is>
      </c>
      <c r="K4" s="3" t="inlineStr">
        <is>
          <t>M6</t>
        </is>
      </c>
      <c r="L4" s="3" t="inlineStr">
        <is>
          <t>M7</t>
        </is>
      </c>
      <c r="M4" s="3" t="inlineStr">
        <is>
          <t>M8</t>
        </is>
      </c>
      <c r="N4" s="3" t="inlineStr">
        <is>
          <t>M9</t>
        </is>
      </c>
      <c r="O4" s="3" t="inlineStr">
        <is>
          <t>M10</t>
        </is>
      </c>
    </row>
    <row r="5">
      <c r="A5" t="inlineStr">
        <is>
          <t>Perizinan PBG &amp; gambar kerja (sebelum mulai)</t>
        </is>
      </c>
      <c r="B5" t="inlineStr">
        <is>
          <t>XI</t>
        </is>
      </c>
      <c r="C5" s="25">
        <f>CHOOSE($C$2,RAB!$F$89,RAB!$H$89,RAB!$J$89)/CHOOSE($C$2,RAB!$F$91,RAB!$H$91,RAB!$J$91)</f>
        <v/>
      </c>
      <c r="D5" s="24" t="n">
        <v>1</v>
      </c>
      <c r="E5" s="24" t="n">
        <v>1</v>
      </c>
      <c r="F5" s="26">
        <f>IF(AND(1&gt;=$D5,1&lt;$D5+$E5),$C5/$E5,0)</f>
        <v/>
      </c>
      <c r="G5" s="26">
        <f>IF(AND(2&gt;=$D5,2&lt;$D5+$E5),$C5/$E5,0)</f>
        <v/>
      </c>
      <c r="H5" s="26">
        <f>IF(AND(3&gt;=$D5,3&lt;$D5+$E5),$C5/$E5,0)</f>
        <v/>
      </c>
      <c r="I5" s="26">
        <f>IF(AND(4&gt;=$D5,4&lt;$D5+$E5),$C5/$E5,0)</f>
        <v/>
      </c>
      <c r="J5" s="26">
        <f>IF(AND(5&gt;=$D5,5&lt;$D5+$E5),$C5/$E5,0)</f>
        <v/>
      </c>
      <c r="K5" s="26">
        <f>IF(AND(6&gt;=$D5,6&lt;$D5+$E5),$C5/$E5,0)</f>
        <v/>
      </c>
      <c r="L5" s="26">
        <f>IF(AND(7&gt;=$D5,7&lt;$D5+$E5),$C5/$E5,0)</f>
        <v/>
      </c>
      <c r="M5" s="26">
        <f>IF(AND(8&gt;=$D5,8&lt;$D5+$E5),$C5/$E5,0)</f>
        <v/>
      </c>
      <c r="N5" s="26">
        <f>IF(AND(9&gt;=$D5,9&lt;$D5+$E5),$C5/$E5,0)</f>
        <v/>
      </c>
      <c r="O5" s="26">
        <f>IF(AND(10&gt;=$D5,10&lt;$D5+$E5),$C5/$E5,0)</f>
        <v/>
      </c>
    </row>
    <row r="6">
      <c r="A6" t="inlineStr">
        <is>
          <t>Persiapan, pembersihan, bowplank</t>
        </is>
      </c>
      <c r="B6" t="inlineStr">
        <is>
          <t>I</t>
        </is>
      </c>
      <c r="C6" s="25">
        <f>CHOOSE($C$2,RAB!$F$10,RAB!$H$10,RAB!$J$10)/CHOOSE($C$2,RAB!$F$91,RAB!$H$91,RAB!$J$91)</f>
        <v/>
      </c>
      <c r="D6" s="24" t="n">
        <v>1</v>
      </c>
      <c r="E6" s="24" t="n">
        <v>1</v>
      </c>
      <c r="F6" s="26">
        <f>IF(AND(1&gt;=$D6,1&lt;$D6+$E6),$C6/$E6,0)</f>
        <v/>
      </c>
      <c r="G6" s="26">
        <f>IF(AND(2&gt;=$D6,2&lt;$D6+$E6),$C6/$E6,0)</f>
        <v/>
      </c>
      <c r="H6" s="26">
        <f>IF(AND(3&gt;=$D6,3&lt;$D6+$E6),$C6/$E6,0)</f>
        <v/>
      </c>
      <c r="I6" s="26">
        <f>IF(AND(4&gt;=$D6,4&lt;$D6+$E6),$C6/$E6,0)</f>
        <v/>
      </c>
      <c r="J6" s="26">
        <f>IF(AND(5&gt;=$D6,5&lt;$D6+$E6),$C6/$E6,0)</f>
        <v/>
      </c>
      <c r="K6" s="26">
        <f>IF(AND(6&gt;=$D6,6&lt;$D6+$E6),$C6/$E6,0)</f>
        <v/>
      </c>
      <c r="L6" s="26">
        <f>IF(AND(7&gt;=$D6,7&lt;$D6+$E6),$C6/$E6,0)</f>
        <v/>
      </c>
      <c r="M6" s="26">
        <f>IF(AND(8&gt;=$D6,8&lt;$D6+$E6),$C6/$E6,0)</f>
        <v/>
      </c>
      <c r="N6" s="26">
        <f>IF(AND(9&gt;=$D6,9&lt;$D6+$E6),$C6/$E6,0)</f>
        <v/>
      </c>
      <c r="O6" s="26">
        <f>IF(AND(10&gt;=$D6,10&lt;$D6+$E6),$C6/$E6,0)</f>
        <v/>
      </c>
    </row>
    <row r="7">
      <c r="A7" t="inlineStr">
        <is>
          <t>Pondasi umpak &amp; sloof</t>
        </is>
      </c>
      <c r="B7" t="inlineStr">
        <is>
          <t>II</t>
        </is>
      </c>
      <c r="C7" s="25">
        <f>CHOOSE($C$2,RAB!$F$15,RAB!$H$15,RAB!$J$15)/CHOOSE($C$2,RAB!$F$91,RAB!$H$91,RAB!$J$91)</f>
        <v/>
      </c>
      <c r="D7" s="24" t="n">
        <v>1</v>
      </c>
      <c r="E7" s="24" t="n">
        <v>2</v>
      </c>
      <c r="F7" s="26">
        <f>IF(AND(1&gt;=$D7,1&lt;$D7+$E7),$C7/$E7,0)</f>
        <v/>
      </c>
      <c r="G7" s="26">
        <f>IF(AND(2&gt;=$D7,2&lt;$D7+$E7),$C7/$E7,0)</f>
        <v/>
      </c>
      <c r="H7" s="26">
        <f>IF(AND(3&gt;=$D7,3&lt;$D7+$E7),$C7/$E7,0)</f>
        <v/>
      </c>
      <c r="I7" s="26">
        <f>IF(AND(4&gt;=$D7,4&lt;$D7+$E7),$C7/$E7,0)</f>
        <v/>
      </c>
      <c r="J7" s="26">
        <f>IF(AND(5&gt;=$D7,5&lt;$D7+$E7),$C7/$E7,0)</f>
        <v/>
      </c>
      <c r="K7" s="26">
        <f>IF(AND(6&gt;=$D7,6&lt;$D7+$E7),$C7/$E7,0)</f>
        <v/>
      </c>
      <c r="L7" s="26">
        <f>IF(AND(7&gt;=$D7,7&lt;$D7+$E7),$C7/$E7,0)</f>
        <v/>
      </c>
      <c r="M7" s="26">
        <f>IF(AND(8&gt;=$D7,8&lt;$D7+$E7),$C7/$E7,0)</f>
        <v/>
      </c>
      <c r="N7" s="26">
        <f>IF(AND(9&gt;=$D7,9&lt;$D7+$E7),$C7/$E7,0)</f>
        <v/>
      </c>
      <c r="O7" s="26">
        <f>IF(AND(10&gt;=$D7,10&lt;$D7+$E7),$C7/$E7,0)</f>
        <v/>
      </c>
    </row>
    <row r="8">
      <c r="A8" t="inlineStr">
        <is>
          <t>Air &amp; sanitasi (septic, sumur, pipa, sanitair)</t>
        </is>
      </c>
      <c r="B8" t="inlineStr">
        <is>
          <t>IX</t>
        </is>
      </c>
      <c r="C8" s="25">
        <f>CHOOSE($C$2,RAB!$F$74,RAB!$H$74,RAB!$J$74)/CHOOSE($C$2,RAB!$F$91,RAB!$H$91,RAB!$J$91)</f>
        <v/>
      </c>
      <c r="D8" s="24" t="n">
        <v>2</v>
      </c>
      <c r="E8" s="24" t="n">
        <v>7</v>
      </c>
      <c r="F8" s="26">
        <f>IF(AND(1&gt;=$D8,1&lt;$D8+$E8),$C8/$E8,0)</f>
        <v/>
      </c>
      <c r="G8" s="26">
        <f>IF(AND(2&gt;=$D8,2&lt;$D8+$E8),$C8/$E8,0)</f>
        <v/>
      </c>
      <c r="H8" s="26">
        <f>IF(AND(3&gt;=$D8,3&lt;$D8+$E8),$C8/$E8,0)</f>
        <v/>
      </c>
      <c r="I8" s="26">
        <f>IF(AND(4&gt;=$D8,4&lt;$D8+$E8),$C8/$E8,0)</f>
        <v/>
      </c>
      <c r="J8" s="26">
        <f>IF(AND(5&gt;=$D8,5&lt;$D8+$E8),$C8/$E8,0)</f>
        <v/>
      </c>
      <c r="K8" s="26">
        <f>IF(AND(6&gt;=$D8,6&lt;$D8+$E8),$C8/$E8,0)</f>
        <v/>
      </c>
      <c r="L8" s="26">
        <f>IF(AND(7&gt;=$D8,7&lt;$D8+$E8),$C8/$E8,0)</f>
        <v/>
      </c>
      <c r="M8" s="26">
        <f>IF(AND(8&gt;=$D8,8&lt;$D8+$E8),$C8/$E8,0)</f>
        <v/>
      </c>
      <c r="N8" s="26">
        <f>IF(AND(9&gt;=$D8,9&lt;$D8+$E8),$C8/$E8,0)</f>
        <v/>
      </c>
      <c r="O8" s="26">
        <f>IF(AND(10&gt;=$D8,10&lt;$D8+$E8),$C8/$E8,0)</f>
        <v/>
      </c>
    </row>
    <row r="9">
      <c r="A9" t="inlineStr">
        <is>
          <t>Struktur baja: kolom &amp; ring balk</t>
        </is>
      </c>
      <c r="B9" t="inlineStr">
        <is>
          <t>IV</t>
        </is>
      </c>
      <c r="C9" s="25">
        <f>CHOOSE($C$2,RAB!$F$32,RAB!$H$32,RAB!$J$32)/CHOOSE($C$2,RAB!$F$91,RAB!$H$91,RAB!$J$91)</f>
        <v/>
      </c>
      <c r="D9" s="24" t="n">
        <v>3</v>
      </c>
      <c r="E9" s="24" t="n">
        <v>2</v>
      </c>
      <c r="F9" s="26">
        <f>IF(AND(1&gt;=$D9,1&lt;$D9+$E9),$C9/$E9,0)</f>
        <v/>
      </c>
      <c r="G9" s="26">
        <f>IF(AND(2&gt;=$D9,2&lt;$D9+$E9),$C9/$E9,0)</f>
        <v/>
      </c>
      <c r="H9" s="26">
        <f>IF(AND(3&gt;=$D9,3&lt;$D9+$E9),$C9/$E9,0)</f>
        <v/>
      </c>
      <c r="I9" s="26">
        <f>IF(AND(4&gt;=$D9,4&lt;$D9+$E9),$C9/$E9,0)</f>
        <v/>
      </c>
      <c r="J9" s="26">
        <f>IF(AND(5&gt;=$D9,5&lt;$D9+$E9),$C9/$E9,0)</f>
        <v/>
      </c>
      <c r="K9" s="26">
        <f>IF(AND(6&gt;=$D9,6&lt;$D9+$E9),$C9/$E9,0)</f>
        <v/>
      </c>
      <c r="L9" s="26">
        <f>IF(AND(7&gt;=$D9,7&lt;$D9+$E9),$C9/$E9,0)</f>
        <v/>
      </c>
      <c r="M9" s="26">
        <f>IF(AND(8&gt;=$D9,8&lt;$D9+$E9),$C9/$E9,0)</f>
        <v/>
      </c>
      <c r="N9" s="26">
        <f>IF(AND(9&gt;=$D9,9&lt;$D9+$E9),$C9/$E9,0)</f>
        <v/>
      </c>
      <c r="O9" s="26">
        <f>IF(AND(10&gt;=$D9,10&lt;$D9+$E9),$C9/$E9,0)</f>
        <v/>
      </c>
    </row>
    <row r="10">
      <c r="A10" t="inlineStr">
        <is>
          <t>Rangka &amp; penutup atap</t>
        </is>
      </c>
      <c r="B10" t="inlineStr">
        <is>
          <t>V</t>
        </is>
      </c>
      <c r="C10" s="25">
        <f>CHOOSE($C$2,RAB!$F$41,RAB!$H$41,RAB!$J$41)/CHOOSE($C$2,RAB!$F$91,RAB!$H$91,RAB!$J$91)</f>
        <v/>
      </c>
      <c r="D10" s="24" t="n">
        <v>4</v>
      </c>
      <c r="E10" s="24" t="n">
        <v>2</v>
      </c>
      <c r="F10" s="26">
        <f>IF(AND(1&gt;=$D10,1&lt;$D10+$E10),$C10/$E10,0)</f>
        <v/>
      </c>
      <c r="G10" s="26">
        <f>IF(AND(2&gt;=$D10,2&lt;$D10+$E10),$C10/$E10,0)</f>
        <v/>
      </c>
      <c r="H10" s="26">
        <f>IF(AND(3&gt;=$D10,3&lt;$D10+$E10),$C10/$E10,0)</f>
        <v/>
      </c>
      <c r="I10" s="26">
        <f>IF(AND(4&gt;=$D10,4&lt;$D10+$E10),$C10/$E10,0)</f>
        <v/>
      </c>
      <c r="J10" s="26">
        <f>IF(AND(5&gt;=$D10,5&lt;$D10+$E10),$C10/$E10,0)</f>
        <v/>
      </c>
      <c r="K10" s="26">
        <f>IF(AND(6&gt;=$D10,6&lt;$D10+$E10),$C10/$E10,0)</f>
        <v/>
      </c>
      <c r="L10" s="26">
        <f>IF(AND(7&gt;=$D10,7&lt;$D10+$E10),$C10/$E10,0)</f>
        <v/>
      </c>
      <c r="M10" s="26">
        <f>IF(AND(8&gt;=$D10,8&lt;$D10+$E10),$C10/$E10,0)</f>
        <v/>
      </c>
      <c r="N10" s="26">
        <f>IF(AND(9&gt;=$D10,9&lt;$D10+$E10),$C10/$E10,0)</f>
        <v/>
      </c>
      <c r="O10" s="26">
        <f>IF(AND(10&gt;=$D10,10&lt;$D10+$E10),$C10/$E10,0)</f>
        <v/>
      </c>
    </row>
    <row r="11">
      <c r="A11" t="inlineStr">
        <is>
          <t>Lantai rabat, keramik, parkir</t>
        </is>
      </c>
      <c r="B11" t="inlineStr">
        <is>
          <t>III</t>
        </is>
      </c>
      <c r="C11" s="25">
        <f>CHOOSE($C$2,RAB!$F$24,RAB!$H$24,RAB!$J$24)/CHOOSE($C$2,RAB!$F$91,RAB!$H$91,RAB!$J$91)</f>
        <v/>
      </c>
      <c r="D11" s="24" t="n">
        <v>5</v>
      </c>
      <c r="E11" s="24" t="n">
        <v>3</v>
      </c>
      <c r="F11" s="26">
        <f>IF(AND(1&gt;=$D11,1&lt;$D11+$E11),$C11/$E11,0)</f>
        <v/>
      </c>
      <c r="G11" s="26">
        <f>IF(AND(2&gt;=$D11,2&lt;$D11+$E11),$C11/$E11,0)</f>
        <v/>
      </c>
      <c r="H11" s="26">
        <f>IF(AND(3&gt;=$D11,3&lt;$D11+$E11),$C11/$E11,0)</f>
        <v/>
      </c>
      <c r="I11" s="26">
        <f>IF(AND(4&gt;=$D11,4&lt;$D11+$E11),$C11/$E11,0)</f>
        <v/>
      </c>
      <c r="J11" s="26">
        <f>IF(AND(5&gt;=$D11,5&lt;$D11+$E11),$C11/$E11,0)</f>
        <v/>
      </c>
      <c r="K11" s="26">
        <f>IF(AND(6&gt;=$D11,6&lt;$D11+$E11),$C11/$E11,0)</f>
        <v/>
      </c>
      <c r="L11" s="26">
        <f>IF(AND(7&gt;=$D11,7&lt;$D11+$E11),$C11/$E11,0)</f>
        <v/>
      </c>
      <c r="M11" s="26">
        <f>IF(AND(8&gt;=$D11,8&lt;$D11+$E11),$C11/$E11,0)</f>
        <v/>
      </c>
      <c r="N11" s="26">
        <f>IF(AND(9&gt;=$D11,9&lt;$D11+$E11),$C11/$E11,0)</f>
        <v/>
      </c>
      <c r="O11" s="26">
        <f>IF(AND(10&gt;=$D11,10&lt;$D11+$E11),$C11/$E11,0)</f>
        <v/>
      </c>
    </row>
    <row r="12">
      <c r="A12" t="inlineStr">
        <is>
          <t>Dinding partisi, toilet, cat</t>
        </is>
      </c>
      <c r="B12" t="inlineStr">
        <is>
          <t>VI</t>
        </is>
      </c>
      <c r="C12" s="25">
        <f>CHOOSE($C$2,RAB!$F$51,RAB!$H$51,RAB!$J$51)/CHOOSE($C$2,RAB!$F$91,RAB!$H$91,RAB!$J$91)</f>
        <v/>
      </c>
      <c r="D12" s="24" t="n">
        <v>5</v>
      </c>
      <c r="E12" s="24" t="n">
        <v>3</v>
      </c>
      <c r="F12" s="26">
        <f>IF(AND(1&gt;=$D12,1&lt;$D12+$E12),$C12/$E12,0)</f>
        <v/>
      </c>
      <c r="G12" s="26">
        <f>IF(AND(2&gt;=$D12,2&lt;$D12+$E12),$C12/$E12,0)</f>
        <v/>
      </c>
      <c r="H12" s="26">
        <f>IF(AND(3&gt;=$D12,3&lt;$D12+$E12),$C12/$E12,0)</f>
        <v/>
      </c>
      <c r="I12" s="26">
        <f>IF(AND(4&gt;=$D12,4&lt;$D12+$E12),$C12/$E12,0)</f>
        <v/>
      </c>
      <c r="J12" s="26">
        <f>IF(AND(5&gt;=$D12,5&lt;$D12+$E12),$C12/$E12,0)</f>
        <v/>
      </c>
      <c r="K12" s="26">
        <f>IF(AND(6&gt;=$D12,6&lt;$D12+$E12),$C12/$E12,0)</f>
        <v/>
      </c>
      <c r="L12" s="26">
        <f>IF(AND(7&gt;=$D12,7&lt;$D12+$E12),$C12/$E12,0)</f>
        <v/>
      </c>
      <c r="M12" s="26">
        <f>IF(AND(8&gt;=$D12,8&lt;$D12+$E12),$C12/$E12,0)</f>
        <v/>
      </c>
      <c r="N12" s="26">
        <f>IF(AND(9&gt;=$D12,9&lt;$D12+$E12),$C12/$E12,0)</f>
        <v/>
      </c>
      <c r="O12" s="26">
        <f>IF(AND(10&gt;=$D12,10&lt;$D12+$E12),$C12/$E12,0)</f>
        <v/>
      </c>
    </row>
    <row r="13">
      <c r="A13" t="inlineStr">
        <is>
          <t>Listrik</t>
        </is>
      </c>
      <c r="B13" t="inlineStr">
        <is>
          <t>X</t>
        </is>
      </c>
      <c r="C13" s="25">
        <f>CHOOSE($C$2,RAB!$F$82,RAB!$H$82,RAB!$J$82)/CHOOSE($C$2,RAB!$F$91,RAB!$H$91,RAB!$J$91)</f>
        <v/>
      </c>
      <c r="D13" s="24" t="n">
        <v>6</v>
      </c>
      <c r="E13" s="24" t="n">
        <v>3</v>
      </c>
      <c r="F13" s="26">
        <f>IF(AND(1&gt;=$D13,1&lt;$D13+$E13),$C13/$E13,0)</f>
        <v/>
      </c>
      <c r="G13" s="26">
        <f>IF(AND(2&gt;=$D13,2&lt;$D13+$E13),$C13/$E13,0)</f>
        <v/>
      </c>
      <c r="H13" s="26">
        <f>IF(AND(3&gt;=$D13,3&lt;$D13+$E13),$C13/$E13,0)</f>
        <v/>
      </c>
      <c r="I13" s="26">
        <f>IF(AND(4&gt;=$D13,4&lt;$D13+$E13),$C13/$E13,0)</f>
        <v/>
      </c>
      <c r="J13" s="26">
        <f>IF(AND(5&gt;=$D13,5&lt;$D13+$E13),$C13/$E13,0)</f>
        <v/>
      </c>
      <c r="K13" s="26">
        <f>IF(AND(6&gt;=$D13,6&lt;$D13+$E13),$C13/$E13,0)</f>
        <v/>
      </c>
      <c r="L13" s="26">
        <f>IF(AND(7&gt;=$D13,7&lt;$D13+$E13),$C13/$E13,0)</f>
        <v/>
      </c>
      <c r="M13" s="26">
        <f>IF(AND(8&gt;=$D13,8&lt;$D13+$E13),$C13/$E13,0)</f>
        <v/>
      </c>
      <c r="N13" s="26">
        <f>IF(AND(9&gt;=$D13,9&lt;$D13+$E13),$C13/$E13,0)</f>
        <v/>
      </c>
      <c r="O13" s="26">
        <f>IF(AND(10&gt;=$D13,10&lt;$D13+$E13),$C13/$E13,0)</f>
        <v/>
      </c>
    </row>
    <row r="14">
      <c r="A14" t="inlineStr">
        <is>
          <t>Plafon</t>
        </is>
      </c>
      <c r="B14" t="inlineStr">
        <is>
          <t>VII</t>
        </is>
      </c>
      <c r="C14" s="25">
        <f>CHOOSE($C$2,RAB!$F$55,RAB!$H$55,RAB!$J$55)/CHOOSE($C$2,RAB!$F$91,RAB!$H$91,RAB!$J$91)</f>
        <v/>
      </c>
      <c r="D14" s="24" t="n">
        <v>7</v>
      </c>
      <c r="E14" s="24" t="n">
        <v>2</v>
      </c>
      <c r="F14" s="26">
        <f>IF(AND(1&gt;=$D14,1&lt;$D14+$E14),$C14/$E14,0)</f>
        <v/>
      </c>
      <c r="G14" s="26">
        <f>IF(AND(2&gt;=$D14,2&lt;$D14+$E14),$C14/$E14,0)</f>
        <v/>
      </c>
      <c r="H14" s="26">
        <f>IF(AND(3&gt;=$D14,3&lt;$D14+$E14),$C14/$E14,0)</f>
        <v/>
      </c>
      <c r="I14" s="26">
        <f>IF(AND(4&gt;=$D14,4&lt;$D14+$E14),$C14/$E14,0)</f>
        <v/>
      </c>
      <c r="J14" s="26">
        <f>IF(AND(5&gt;=$D14,5&lt;$D14+$E14),$C14/$E14,0)</f>
        <v/>
      </c>
      <c r="K14" s="26">
        <f>IF(AND(6&gt;=$D14,6&lt;$D14+$E14),$C14/$E14,0)</f>
        <v/>
      </c>
      <c r="L14" s="26">
        <f>IF(AND(7&gt;=$D14,7&lt;$D14+$E14),$C14/$E14,0)</f>
        <v/>
      </c>
      <c r="M14" s="26">
        <f>IF(AND(8&gt;=$D14,8&lt;$D14+$E14),$C14/$E14,0)</f>
        <v/>
      </c>
      <c r="N14" s="26">
        <f>IF(AND(9&gt;=$D14,9&lt;$D14+$E14),$C14/$E14,0)</f>
        <v/>
      </c>
      <c r="O14" s="26">
        <f>IF(AND(10&gt;=$D14,10&lt;$D14+$E14),$C14/$E14,0)</f>
        <v/>
      </c>
    </row>
    <row r="15">
      <c r="A15" t="inlineStr">
        <is>
          <t>Pintu, jendela, rolling door</t>
        </is>
      </c>
      <c r="B15" t="inlineStr">
        <is>
          <t>VIII</t>
        </is>
      </c>
      <c r="C15" s="25">
        <f>CHOOSE($C$2,RAB!$F$63,RAB!$H$63,RAB!$J$63)/CHOOSE($C$2,RAB!$F$91,RAB!$H$91,RAB!$J$91)</f>
        <v/>
      </c>
      <c r="D15" s="24" t="n">
        <v>8</v>
      </c>
      <c r="E15" s="24" t="n">
        <v>2</v>
      </c>
      <c r="F15" s="26">
        <f>IF(AND(1&gt;=$D15,1&lt;$D15+$E15),$C15/$E15,0)</f>
        <v/>
      </c>
      <c r="G15" s="26">
        <f>IF(AND(2&gt;=$D15,2&lt;$D15+$E15),$C15/$E15,0)</f>
        <v/>
      </c>
      <c r="H15" s="26">
        <f>IF(AND(3&gt;=$D15,3&lt;$D15+$E15),$C15/$E15,0)</f>
        <v/>
      </c>
      <c r="I15" s="26">
        <f>IF(AND(4&gt;=$D15,4&lt;$D15+$E15),$C15/$E15,0)</f>
        <v/>
      </c>
      <c r="J15" s="26">
        <f>IF(AND(5&gt;=$D15,5&lt;$D15+$E15),$C15/$E15,0)</f>
        <v/>
      </c>
      <c r="K15" s="26">
        <f>IF(AND(6&gt;=$D15,6&lt;$D15+$E15),$C15/$E15,0)</f>
        <v/>
      </c>
      <c r="L15" s="26">
        <f>IF(AND(7&gt;=$D15,7&lt;$D15+$E15),$C15/$E15,0)</f>
        <v/>
      </c>
      <c r="M15" s="26">
        <f>IF(AND(8&gt;=$D15,8&lt;$D15+$E15),$C15/$E15,0)</f>
        <v/>
      </c>
      <c r="N15" s="26">
        <f>IF(AND(9&gt;=$D15,9&lt;$D15+$E15),$C15/$E15,0)</f>
        <v/>
      </c>
      <c r="O15" s="26">
        <f>IF(AND(10&gt;=$D15,10&lt;$D15+$E15),$C15/$E15,0)</f>
        <v/>
      </c>
    </row>
    <row r="16">
      <c r="A16" s="5" t="inlineStr">
        <is>
          <t>Progres mingguan rencana</t>
        </is>
      </c>
      <c r="C16" s="27">
        <f>SUM(C5:C15)</f>
        <v/>
      </c>
      <c r="F16" s="25">
        <f>SUM(F5:F15)</f>
        <v/>
      </c>
      <c r="G16" s="25">
        <f>SUM(G5:G15)</f>
        <v/>
      </c>
      <c r="H16" s="25">
        <f>SUM(H5:H15)</f>
        <v/>
      </c>
      <c r="I16" s="25">
        <f>SUM(I5:I15)</f>
        <v/>
      </c>
      <c r="J16" s="25">
        <f>SUM(J5:J15)</f>
        <v/>
      </c>
      <c r="K16" s="25">
        <f>SUM(K5:K15)</f>
        <v/>
      </c>
      <c r="L16" s="25">
        <f>SUM(L5:L15)</f>
        <v/>
      </c>
      <c r="M16" s="25">
        <f>SUM(M5:M15)</f>
        <v/>
      </c>
      <c r="N16" s="25">
        <f>SUM(N5:N15)</f>
        <v/>
      </c>
      <c r="O16" s="25">
        <f>SUM(O5:O15)</f>
        <v/>
      </c>
    </row>
    <row r="17">
      <c r="A17" s="5" t="inlineStr">
        <is>
          <t>Progres kumulatif rencana (kurva S)</t>
        </is>
      </c>
      <c r="F17" s="28">
        <f>F16</f>
        <v/>
      </c>
      <c r="G17" s="28">
        <f>F17+G16</f>
        <v/>
      </c>
      <c r="H17" s="28">
        <f>G17+H16</f>
        <v/>
      </c>
      <c r="I17" s="28">
        <f>H17+I16</f>
        <v/>
      </c>
      <c r="J17" s="28">
        <f>I17+J16</f>
        <v/>
      </c>
      <c r="K17" s="28">
        <f>J17+K16</f>
        <v/>
      </c>
      <c r="L17" s="28">
        <f>K17+L16</f>
        <v/>
      </c>
      <c r="M17" s="28">
        <f>L17+M16</f>
        <v/>
      </c>
      <c r="N17" s="28">
        <f>M17+N16</f>
        <v/>
      </c>
      <c r="O17" s="28">
        <f>N17+O16</f>
        <v/>
      </c>
    </row>
    <row r="18">
      <c r="A18" s="5" t="inlineStr">
        <is>
          <t>Progres kumulatif aktual (isi tiap minggu)</t>
        </is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20">
      <c r="A20" s="2" t="inlineStr">
        <is>
          <t>Bobot = nilai divisi RAB ÷ total pekerjaan paket terpilih. Jadwal mengikuti cuaca: hindari mengecor &amp; memasang atap saat hujan deras.</t>
        </is>
      </c>
    </row>
  </sheetData>
  <conditionalFormatting sqref="F5:O15">
    <cfRule type="cellIs" priority="1" operator="greaterThan" dxfId="0">
      <formula>0</formula>
    </cfRule>
  </conditionalFormatting>
  <dataValidations count="1">
    <dataValidation sqref="C2" showDropDown="0" showInputMessage="0" showErrorMessage="0" allowBlank="0" type="list">
      <formula1>"1,2,3"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14" customWidth="1" min="4" max="4"/>
    <col width="12" customWidth="1" min="5" max="5"/>
    <col width="30" customWidth="1" min="6" max="6"/>
  </cols>
  <sheetData>
    <row r="1">
      <c r="A1" s="10" t="inlineStr">
        <is>
          <t>CHECKLIST PENGAWASAN LAPANGAN</t>
        </is>
      </c>
    </row>
    <row r="2">
      <c r="A2" s="2" t="inlineStr">
        <is>
          <t>Cek setiap tahap sebelum lanjut ke tahap berikutnya. Foto setiap item dan simpan sebagai arsip.</t>
        </is>
      </c>
    </row>
    <row r="4">
      <c r="A4" s="3" t="inlineStr">
        <is>
          <t>Tahap</t>
        </is>
      </c>
      <c r="B4" s="3" t="inlineStr">
        <is>
          <t>Item yang dicek</t>
        </is>
      </c>
      <c r="C4" s="3" t="inlineStr">
        <is>
          <t>Standar</t>
        </is>
      </c>
      <c r="D4" s="3" t="inlineStr">
        <is>
          <t>OK / Perbaiki</t>
        </is>
      </c>
      <c r="E4" s="3" t="inlineStr">
        <is>
          <t>Tanggal</t>
        </is>
      </c>
      <c r="F4" s="3" t="inlineStr">
        <is>
          <t>Catatan</t>
        </is>
      </c>
    </row>
    <row r="5">
      <c r="A5" t="inlineStr">
        <is>
          <t>Persiapan</t>
        </is>
      </c>
      <c r="B5" t="inlineStr">
        <is>
          <t>Batas tanah &amp; as bangunan</t>
        </is>
      </c>
      <c r="C5" s="29" t="inlineStr">
        <is>
          <t>Sesuai gambar &amp; PBG, garis sempadan dari jalan dipatuhi</t>
        </is>
      </c>
      <c r="D5" s="24" t="n"/>
      <c r="E5" s="24" t="n"/>
      <c r="F5" s="24" t="n"/>
    </row>
    <row r="6">
      <c r="A6" t="inlineStr">
        <is>
          <t>Persiapan</t>
        </is>
      </c>
      <c r="B6" t="inlineStr">
        <is>
          <t>Elevasi lantai</t>
        </is>
      </c>
      <c r="C6" s="29" t="inlineStr">
        <is>
          <t>Lantai ± 20–30 cm di atas jalan/halaman agar tidak kebanjiran</t>
        </is>
      </c>
      <c r="D6" s="24" t="n"/>
      <c r="E6" s="24" t="n"/>
      <c r="F6" s="24" t="n"/>
    </row>
    <row r="7">
      <c r="A7" t="inlineStr">
        <is>
          <t>Pondasi</t>
        </is>
      </c>
      <c r="B7" t="inlineStr">
        <is>
          <t>Kedalaman galian umpak</t>
        </is>
      </c>
      <c r="C7" s="29" t="inlineStr">
        <is>
          <t>Mencapai tanah keras, min. 60–80 cm</t>
        </is>
      </c>
      <c r="D7" s="24" t="n"/>
      <c r="E7" s="24" t="n"/>
      <c r="F7" s="24" t="n"/>
    </row>
    <row r="8">
      <c r="A8" t="inlineStr">
        <is>
          <t>Pondasi</t>
        </is>
      </c>
      <c r="B8" t="inlineStr">
        <is>
          <t>Angkur kolom</t>
        </is>
      </c>
      <c r="C8" s="29" t="inlineStr">
        <is>
          <t>Tegak lurus, jarak sesuai base plate, dicek sebelum dicor</t>
        </is>
      </c>
      <c r="D8" s="24" t="n"/>
      <c r="E8" s="24" t="n"/>
      <c r="F8" s="24" t="n"/>
    </row>
    <row r="9">
      <c r="A9" t="inlineStr">
        <is>
          <t>Pondasi</t>
        </is>
      </c>
      <c r="B9" t="inlineStr">
        <is>
          <t>Pengecoran</t>
        </is>
      </c>
      <c r="C9" s="29" t="inlineStr">
        <is>
          <t>Tidak saat hujan, beton dipadatkan &amp; disiram 7 hari</t>
        </is>
      </c>
      <c r="D9" s="24" t="n"/>
      <c r="E9" s="24" t="n"/>
      <c r="F9" s="24" t="n"/>
    </row>
    <row r="10">
      <c r="A10" t="inlineStr">
        <is>
          <t>Struktur</t>
        </is>
      </c>
      <c r="B10" t="inlineStr">
        <is>
          <t>Kolom</t>
        </is>
      </c>
      <c r="C10" s="29" t="inlineStr">
        <is>
          <t>Tegak (cek unting-unting/waterpass), las penuh, titik las dicat anti karat</t>
        </is>
      </c>
      <c r="D10" s="24" t="n"/>
      <c r="E10" s="24" t="n"/>
      <c r="F10" s="24" t="n"/>
    </row>
    <row r="11">
      <c r="A11" t="inlineStr">
        <is>
          <t>Struktur</t>
        </is>
      </c>
      <c r="B11" t="inlineStr">
        <is>
          <t>Ring balk</t>
        </is>
      </c>
      <c r="C11" s="29" t="inlineStr">
        <is>
          <t>Rata air, sambungan di atas kolom</t>
        </is>
      </c>
      <c r="D11" s="24" t="n"/>
      <c r="E11" s="24" t="n"/>
      <c r="F11" s="24" t="n"/>
    </row>
    <row r="12">
      <c r="A12" t="inlineStr">
        <is>
          <t>Atap</t>
        </is>
      </c>
      <c r="B12" t="inlineStr">
        <is>
          <t>Kuda-kuda baja ringan</t>
        </is>
      </c>
      <c r="C12" s="29" t="inlineStr">
        <is>
          <t>Jarak ≤ 1,2 m, terikat ke ring balk dengan dynabolt/bracket, ada ikatan angin</t>
        </is>
      </c>
      <c r="D12" s="24" t="n"/>
      <c r="E12" s="24" t="n"/>
      <c r="F12" s="24" t="n"/>
    </row>
    <row r="13">
      <c r="A13" t="inlineStr">
        <is>
          <t>Atap</t>
        </is>
      </c>
      <c r="B13" t="inlineStr">
        <is>
          <t>Penutup atap</t>
        </is>
      </c>
      <c r="C13" s="29" t="inlineStr">
        <is>
          <t>Overlap &amp; baut roofing cukup, tidak bocor saat tes siram/hujan</t>
        </is>
      </c>
      <c r="D13" s="24" t="n"/>
      <c r="E13" s="24" t="n"/>
      <c r="F13" s="24" t="n"/>
    </row>
    <row r="14">
      <c r="A14" t="inlineStr">
        <is>
          <t>Atap</t>
        </is>
      </c>
      <c r="B14" t="inlineStr">
        <is>
          <t>Talang</t>
        </is>
      </c>
      <c r="C14" s="29" t="inlineStr">
        <is>
          <t>Miring ke pipa turun, tidak ada genangan</t>
        </is>
      </c>
      <c r="D14" s="24" t="n"/>
      <c r="E14" s="24" t="n"/>
      <c r="F14" s="24" t="n"/>
    </row>
    <row r="15">
      <c r="A15" t="inlineStr">
        <is>
          <t>Lantai</t>
        </is>
      </c>
      <c r="B15" t="inlineStr">
        <is>
          <t>Rabat beton</t>
        </is>
      </c>
      <c r="C15" s="29" t="inlineStr">
        <is>
          <t>Wiremesh terangkat (diganjal), miring ke saluran, tidak retak</t>
        </is>
      </c>
      <c r="D15" s="24" t="n"/>
      <c r="E15" s="24" t="n"/>
      <c r="F15" s="24" t="n"/>
    </row>
    <row r="16">
      <c r="A16" t="inlineStr">
        <is>
          <t>Dinding</t>
        </is>
      </c>
      <c r="B16" t="inlineStr">
        <is>
          <t>Rangka partisi</t>
        </is>
      </c>
      <c r="C16" s="29" t="inlineStr">
        <is>
          <t>Jarak rangka 60 cm, tegak, ada rangka ekstra di sekitar pintu/jendela &amp; titik gantung</t>
        </is>
      </c>
      <c r="D16" s="24" t="n"/>
      <c r="E16" s="24" t="n"/>
      <c r="F16" s="24" t="n"/>
    </row>
    <row r="17">
      <c r="A17" t="inlineStr">
        <is>
          <t>Dinding</t>
        </is>
      </c>
      <c r="B17" t="inlineStr">
        <is>
          <t>Papan GRC luar</t>
        </is>
      </c>
      <c r="C17" s="29" t="inlineStr">
        <is>
          <t>Sambungan diberi kompon + kasa, bagian bawah ± 10 cm di atas sloof tidak menyentuh tanah</t>
        </is>
      </c>
      <c r="D17" s="24" t="n"/>
      <c r="E17" s="24" t="n"/>
      <c r="F17" s="24" t="n"/>
    </row>
    <row r="18">
      <c r="A18" t="inlineStr">
        <is>
          <t>Dinding</t>
        </is>
      </c>
      <c r="B18" t="inlineStr">
        <is>
          <t>Toilet</t>
        </is>
      </c>
      <c r="C18" s="29" t="inlineStr">
        <is>
          <t>Bata ringan + waterproofing, tes rendam 24 jam sebelum keramik</t>
        </is>
      </c>
      <c r="D18" s="24" t="n"/>
      <c r="E18" s="24" t="n"/>
      <c r="F18" s="24" t="n"/>
    </row>
    <row r="19">
      <c r="A19" t="inlineStr">
        <is>
          <t>Air</t>
        </is>
      </c>
      <c r="B19" t="inlineStr">
        <is>
          <t>Septic tank</t>
        </is>
      </c>
      <c r="C19" s="29" t="inlineStr">
        <is>
          <t>Jarak ≥ 10 m dari sumur, ada pipa udara</t>
        </is>
      </c>
      <c r="D19" s="24" t="n"/>
      <c r="E19" s="24" t="n"/>
      <c r="F19" s="24" t="n"/>
    </row>
    <row r="20">
      <c r="A20" t="inlineStr">
        <is>
          <t>Air</t>
        </is>
      </c>
      <c r="B20" t="inlineStr">
        <is>
          <t>Grease trap</t>
        </is>
      </c>
      <c r="C20" s="29" t="inlineStr">
        <is>
          <t>Terpasang sebelum saluran dapur ke drainase</t>
        </is>
      </c>
      <c r="D20" s="24" t="n"/>
      <c r="E20" s="24" t="n"/>
      <c r="F20" s="24" t="n"/>
    </row>
    <row r="21">
      <c r="A21" t="inlineStr">
        <is>
          <t>Air</t>
        </is>
      </c>
      <c r="B21" t="inlineStr">
        <is>
          <t>Tes tekanan pipa</t>
        </is>
      </c>
      <c r="C21" s="29" t="inlineStr">
        <is>
          <t>Tidak bocor sebelum ditutup</t>
        </is>
      </c>
      <c r="D21" s="24" t="n"/>
      <c r="E21" s="24" t="n"/>
      <c r="F21" s="24" t="n"/>
    </row>
    <row r="22">
      <c r="A22" t="inlineStr">
        <is>
          <t>Listrik</t>
        </is>
      </c>
      <c r="B22" t="inlineStr">
        <is>
          <t>Instalasi</t>
        </is>
      </c>
      <c r="C22" s="29" t="inlineStr">
        <is>
          <t>Kabel dalam pipa, MCB terpisah dapur/bar/colokan pelanggan, ada grounding</t>
        </is>
      </c>
      <c r="D22" s="24" t="n"/>
      <c r="E22" s="24" t="n"/>
      <c r="F22" s="24" t="n"/>
    </row>
    <row r="23">
      <c r="A23" t="inlineStr">
        <is>
          <t>Listrik</t>
        </is>
      </c>
      <c r="B23" t="inlineStr">
        <is>
          <t>SLO</t>
        </is>
      </c>
      <c r="C23" s="29" t="inlineStr">
        <is>
          <t>Terbit sebelum PLN menyalakan listrik</t>
        </is>
      </c>
      <c r="D23" s="24" t="n"/>
      <c r="E23" s="24" t="n"/>
      <c r="F23" s="24" t="n"/>
    </row>
    <row r="24">
      <c r="A24" t="inlineStr">
        <is>
          <t>Finishing</t>
        </is>
      </c>
      <c r="B24" t="inlineStr">
        <is>
          <t>Pintu &amp; rolling door</t>
        </is>
      </c>
      <c r="C24" s="29" t="inlineStr">
        <is>
          <t>Lancar, kunci berfungsi</t>
        </is>
      </c>
      <c r="D24" s="24" t="n"/>
      <c r="E24" s="24" t="n"/>
      <c r="F24" s="24" t="n"/>
    </row>
    <row r="25">
      <c r="A25" t="inlineStr">
        <is>
          <t>Finishing</t>
        </is>
      </c>
      <c r="B25" t="inlineStr">
        <is>
          <t>Keselamatan</t>
        </is>
      </c>
      <c r="C25" s="29" t="inlineStr">
        <is>
          <t>APAR terpasang, jalur keluar bebas, tidak ada kabel terbuka</t>
        </is>
      </c>
      <c r="D25" s="24" t="n"/>
      <c r="E25" s="24" t="n"/>
      <c r="F25" s="24" t="n"/>
    </row>
  </sheetData>
  <dataValidations count="1">
    <dataValidation sqref="D5:D25" showDropDown="0" showInputMessage="0" showErrorMessage="0" allowBlank="1" type="list">
      <formula1>"OK,Perbaiki"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3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70" customWidth="1" min="23" max="23"/>
  </cols>
  <sheetData>
    <row r="1">
      <c r="A1" s="10" t="inlineStr">
        <is>
          <t>DENAH TAPAK 20 × 20 m (Paket A) · 1 kotak = 1 m</t>
        </is>
      </c>
    </row>
    <row r="2">
      <c r="A2" s="2" t="inlineStr">
        <is>
          <t>Gambar ini contoh susunan dan tidak berubah otomatis. Arah jalan di bawah.</t>
        </is>
      </c>
    </row>
    <row r="4" ht="17" customHeight="1">
      <c r="B4" s="30" t="n"/>
      <c r="C4" s="30" t="n"/>
      <c r="D4" s="30" t="n"/>
      <c r="E4" s="30" t="n"/>
      <c r="F4" s="30" t="n"/>
      <c r="G4" s="30" t="n"/>
      <c r="H4" s="31" t="inlineStr">
        <is>
          <t>DAPUR</t>
        </is>
      </c>
      <c r="M4" s="32" t="inlineStr">
        <is>
          <t>GUDANG</t>
        </is>
      </c>
      <c r="P4" s="30" t="n"/>
      <c r="Q4" s="30" t="n"/>
      <c r="R4" s="30" t="n"/>
      <c r="S4" s="30" t="n"/>
      <c r="T4" s="30" t="n"/>
      <c r="U4" s="30" t="n"/>
      <c r="W4" s="5" t="inlineStr">
        <is>
          <t>Catatan susunan:</t>
        </is>
      </c>
    </row>
    <row r="5" ht="17" customHeight="1">
      <c r="B5" s="30" t="n"/>
      <c r="C5" s="33" t="inlineStr">
        <is>
          <t>SUMUR</t>
        </is>
      </c>
      <c r="E5" s="30" t="n"/>
      <c r="F5" s="30" t="n"/>
      <c r="G5" s="30" t="n"/>
      <c r="P5" s="30" t="n"/>
      <c r="Q5" s="30" t="n"/>
      <c r="R5" s="34" t="inlineStr">
        <is>
          <t>SEPTIC</t>
        </is>
      </c>
      <c r="U5" s="30" t="n"/>
      <c r="W5" s="35" t="inlineStr">
        <is>
          <t>• Bangunan di tengah supaya ada jarak dari tetangga (aman kebakaran &amp; cahaya).</t>
        </is>
      </c>
    </row>
    <row r="6" ht="17" customHeight="1">
      <c r="B6" s="30" t="n"/>
      <c r="E6" s="30" t="n"/>
      <c r="F6" s="30" t="n"/>
      <c r="G6" s="30" t="n"/>
      <c r="M6" s="36" t="inlineStr">
        <is>
          <t>TOILET ×2</t>
        </is>
      </c>
      <c r="P6" s="30" t="n"/>
      <c r="Q6" s="30" t="n"/>
      <c r="U6" s="30" t="n"/>
      <c r="W6" s="35" t="inlineStr">
        <is>
          <t>• Septic tank &amp; sumur dibuat berjauhan (≥ 10 m).</t>
        </is>
      </c>
    </row>
    <row r="7" ht="17" customHeight="1">
      <c r="B7" s="30" t="n"/>
      <c r="C7" s="30" t="n"/>
      <c r="D7" s="30" t="n"/>
      <c r="E7" s="30" t="n"/>
      <c r="F7" s="30" t="n"/>
      <c r="G7" s="30" t="n"/>
      <c r="P7" s="30" t="n"/>
      <c r="Q7" s="30" t="n"/>
      <c r="R7" s="30" t="n"/>
      <c r="S7" s="30" t="n"/>
      <c r="T7" s="30" t="n"/>
      <c r="U7" s="30" t="n"/>
      <c r="W7" s="35" t="inlineStr">
        <is>
          <t>• Sisa lahan (± 270 m²) jadi area outdoor: bisa bertahap diberi kanopi/pergola.</t>
        </is>
      </c>
    </row>
    <row r="8" ht="17" customHeight="1">
      <c r="B8" s="37" t="inlineStr">
        <is>
          <t>AREA OUTDOOR / TAMAN
meja kayu, lampu gantung</t>
        </is>
      </c>
      <c r="H8" s="38" t="inlineStr">
        <is>
          <t>AREA DUDUK DALAM / RUANG REMBUK</t>
        </is>
      </c>
      <c r="P8" s="37" t="inlineStr">
        <is>
          <t>AREA OUTDOOR / TAMAN
meja lesehan, pasar komunitas</t>
        </is>
      </c>
      <c r="W8" s="35" t="inlineStr">
        <is>
          <t>• Cek garis sempadan bangunan (GSB) dari jalan di Perda setempat.</t>
        </is>
      </c>
    </row>
    <row r="9" ht="17" customHeight="1"/>
    <row r="10" ht="17" customHeight="1"/>
    <row r="11" ht="17" customHeight="1"/>
    <row r="12" ht="17" customHeight="1">
      <c r="H12" s="39" t="inlineStr">
        <is>
          <t>BAR &amp; KASIR</t>
        </is>
      </c>
    </row>
    <row r="13" ht="17" customHeight="1"/>
    <row r="14" ht="17" customHeight="1">
      <c r="H14" s="40" t="inlineStr">
        <is>
          <t>TERAS BERATAP 8 × 6 m
meja nongkrong · area merokok</t>
        </is>
      </c>
    </row>
    <row r="15" ht="17" customHeight="1"/>
    <row r="16" ht="17" customHeight="1"/>
    <row r="17" ht="17" customHeight="1"/>
    <row r="18" ht="17" customHeight="1"/>
    <row r="19" ht="17" customHeight="1"/>
    <row r="20" ht="17" customHeight="1">
      <c r="B20" s="41" t="inlineStr">
        <is>
          <t>PARKIR MOTOR · sirtu 80 m²</t>
        </is>
      </c>
    </row>
    <row r="21" ht="17" customHeight="1"/>
    <row r="22" ht="17" customHeight="1"/>
    <row r="23" ht="17" customHeight="1"/>
    <row r="24" ht="17" customHeight="1">
      <c r="B24" s="42" t="inlineStr">
        <is>
          <t>JALAN</t>
        </is>
      </c>
    </row>
    <row r="25" ht="17" customHeight="1"/>
  </sheetData>
  <mergeCells count="12">
    <mergeCell ref="H4:L7"/>
    <mergeCell ref="H12:O13"/>
    <mergeCell ref="H8:O11"/>
    <mergeCell ref="P8:U19"/>
    <mergeCell ref="R5:T6"/>
    <mergeCell ref="B20:U23"/>
    <mergeCell ref="M4:O5"/>
    <mergeCell ref="C5:D6"/>
    <mergeCell ref="B24:U24"/>
    <mergeCell ref="H14:O19"/>
    <mergeCell ref="M6:O7"/>
    <mergeCell ref="B8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2026-10-27T04:52:38Z</dcterms:created>
  <dcterms:modified xmlns:dcterms="http://purl.org/dc/terms/" xmlns:xsi="http://www.w3.org/2001/XMLSchema-instance" xsi:type="dcterms:W3CDTF">2026-10-27T04:52:38Z</dcterms:modified>
</cp:coreProperties>
</file>